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D:\ChuongTrinhHocTheoTungNgay\Day18-4May\"/>
    </mc:Choice>
  </mc:AlternateContent>
  <xr:revisionPtr revIDLastSave="0" documentId="13_ncr:1_{BAEAA0FD-8724-4F88-B4B6-2EFEF8F6F0AB}" xr6:coauthVersionLast="36" xr6:coauthVersionMax="36" xr10:uidLastSave="{00000000-0000-0000-0000-000000000000}"/>
  <bookViews>
    <workbookView xWindow="0" yWindow="600" windowWidth="20490" windowHeight="7530" tabRatio="500" activeTab="1" xr2:uid="{00000000-000D-0000-FFFF-FFFF00000000}"/>
  </bookViews>
  <sheets>
    <sheet name="Customer" sheetId="4" r:id="rId1"/>
    <sheet name="1. Assumptions" sheetId="1" r:id="rId2"/>
    <sheet name="2. Unit Economics" sheetId="2" r:id="rId3"/>
    <sheet name="3. P&amp;L &amp; ROI" sheetId="3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4" l="1"/>
  <c r="D40" i="3"/>
  <c r="D39" i="3"/>
  <c r="D37" i="3"/>
  <c r="C6" i="3"/>
  <c r="C10" i="3" s="1"/>
  <c r="E18" i="2"/>
  <c r="D18" i="2"/>
  <c r="C18" i="2"/>
  <c r="E14" i="2"/>
  <c r="D14" i="2"/>
  <c r="C14" i="2"/>
  <c r="E9" i="2"/>
  <c r="E10" i="2" s="1"/>
  <c r="E15" i="2" s="1"/>
  <c r="E21" i="2" s="1"/>
  <c r="C9" i="2"/>
  <c r="C10" i="2" s="1"/>
  <c r="E8" i="2"/>
  <c r="D8" i="2"/>
  <c r="C8" i="2"/>
  <c r="E36" i="1"/>
  <c r="D36" i="1"/>
  <c r="C36" i="1"/>
  <c r="E28" i="1"/>
  <c r="D28" i="1"/>
  <c r="C28" i="1"/>
  <c r="E19" i="1"/>
  <c r="D19" i="1"/>
  <c r="C19" i="1"/>
  <c r="E15" i="1"/>
  <c r="D15" i="1"/>
  <c r="D9" i="2" s="1"/>
  <c r="C15" i="1"/>
  <c r="D10" i="2" l="1"/>
  <c r="D11" i="2" s="1"/>
  <c r="W22" i="3"/>
  <c r="G22" i="3"/>
  <c r="M22" i="3"/>
  <c r="Z22" i="3"/>
  <c r="N22" i="3"/>
  <c r="X22" i="3"/>
  <c r="H22" i="3"/>
  <c r="V22" i="3"/>
  <c r="L22" i="3"/>
  <c r="D22" i="3"/>
  <c r="Q22" i="3"/>
  <c r="O22" i="3"/>
  <c r="E11" i="2"/>
  <c r="C11" i="2"/>
  <c r="C15" i="2"/>
  <c r="C21" i="2" s="1"/>
  <c r="C22" i="2"/>
  <c r="E22" i="2"/>
  <c r="E25" i="2" s="1"/>
  <c r="C14" i="3"/>
  <c r="C8" i="3"/>
  <c r="C16" i="3"/>
  <c r="C9" i="3"/>
  <c r="S22" i="3" s="1"/>
  <c r="C11" i="3"/>
  <c r="C13" i="3"/>
  <c r="D38" i="3"/>
  <c r="C15" i="3"/>
  <c r="C17" i="3"/>
  <c r="C12" i="3"/>
  <c r="X28" i="3" l="1"/>
  <c r="N28" i="3"/>
  <c r="S28" i="3"/>
  <c r="O28" i="3"/>
  <c r="Q28" i="3"/>
  <c r="W28" i="3"/>
  <c r="D15" i="2"/>
  <c r="D21" i="2" s="1"/>
  <c r="D22" i="2"/>
  <c r="V28" i="3"/>
  <c r="Z28" i="3"/>
  <c r="H28" i="3"/>
  <c r="M28" i="3"/>
  <c r="D28" i="3"/>
  <c r="T22" i="3"/>
  <c r="T28" i="3" s="1"/>
  <c r="E22" i="3"/>
  <c r="E28" i="3" s="1"/>
  <c r="Y22" i="3"/>
  <c r="Y28" i="3" s="1"/>
  <c r="C22" i="3"/>
  <c r="L28" i="3"/>
  <c r="U22" i="3"/>
  <c r="U28" i="3" s="1"/>
  <c r="J22" i="3"/>
  <c r="J28" i="3" s="1"/>
  <c r="K22" i="3"/>
  <c r="K28" i="3" s="1"/>
  <c r="G28" i="3"/>
  <c r="C25" i="2"/>
  <c r="P22" i="3"/>
  <c r="P28" i="3" s="1"/>
  <c r="I22" i="3"/>
  <c r="I28" i="3" s="1"/>
  <c r="V29" i="3"/>
  <c r="N29" i="3"/>
  <c r="F29" i="3"/>
  <c r="D29" i="3"/>
  <c r="Z29" i="3"/>
  <c r="J29" i="3"/>
  <c r="H29" i="3"/>
  <c r="U29" i="3"/>
  <c r="M29" i="3"/>
  <c r="E29" i="3"/>
  <c r="K29" i="3"/>
  <c r="S29" i="3"/>
  <c r="C29" i="3"/>
  <c r="AA29" i="3" s="1"/>
  <c r="Y29" i="3"/>
  <c r="Q29" i="3"/>
  <c r="I29" i="3"/>
  <c r="X29" i="3"/>
  <c r="W29" i="3"/>
  <c r="O29" i="3"/>
  <c r="G29" i="3"/>
  <c r="T29" i="3"/>
  <c r="L29" i="3"/>
  <c r="R29" i="3"/>
  <c r="P29" i="3"/>
  <c r="F22" i="3"/>
  <c r="F28" i="3" s="1"/>
  <c r="R22" i="3"/>
  <c r="R28" i="3" s="1"/>
  <c r="D25" i="2" l="1"/>
  <c r="AA22" i="3"/>
  <c r="C28" i="3"/>
  <c r="AA28" i="3" s="1"/>
  <c r="C23" i="3"/>
  <c r="C25" i="3" l="1"/>
  <c r="C26" i="3"/>
  <c r="D23" i="3"/>
  <c r="D26" i="3" l="1"/>
  <c r="E23" i="3"/>
  <c r="D25" i="3"/>
  <c r="C27" i="3"/>
  <c r="D27" i="3" l="1"/>
  <c r="D30" i="3" s="1"/>
  <c r="D32" i="3" s="1"/>
  <c r="C30" i="3"/>
  <c r="E26" i="3"/>
  <c r="F23" i="3"/>
  <c r="E25" i="3"/>
  <c r="E27" i="3" l="1"/>
  <c r="F25" i="3"/>
  <c r="G23" i="3"/>
  <c r="F26" i="3"/>
  <c r="C32" i="3"/>
  <c r="C41" i="3" l="1"/>
  <c r="C33" i="3"/>
  <c r="G26" i="3"/>
  <c r="G25" i="3"/>
  <c r="H23" i="3"/>
  <c r="F27" i="3"/>
  <c r="F30" i="3" s="1"/>
  <c r="F32" i="3" s="1"/>
  <c r="E30" i="3"/>
  <c r="G27" i="3" l="1"/>
  <c r="G30" i="3" s="1"/>
  <c r="G32" i="3" s="1"/>
  <c r="H25" i="3"/>
  <c r="H26" i="3"/>
  <c r="I23" i="3"/>
  <c r="D41" i="3"/>
  <c r="D33" i="3"/>
  <c r="E32" i="3"/>
  <c r="H27" i="3" l="1"/>
  <c r="H30" i="3" s="1"/>
  <c r="H32" i="3" s="1"/>
  <c r="E33" i="3"/>
  <c r="F33" i="3" s="1"/>
  <c r="G33" i="3" s="1"/>
  <c r="E41" i="3"/>
  <c r="I26" i="3"/>
  <c r="J23" i="3"/>
  <c r="I25" i="3"/>
  <c r="I27" i="3" s="1"/>
  <c r="H33" i="3" l="1"/>
  <c r="F41" i="3"/>
  <c r="G41" i="3" s="1"/>
  <c r="H41" i="3" s="1"/>
  <c r="I30" i="3"/>
  <c r="J25" i="3"/>
  <c r="J26" i="3"/>
  <c r="K23" i="3"/>
  <c r="L23" i="3" l="1"/>
  <c r="K26" i="3"/>
  <c r="K25" i="3"/>
  <c r="J27" i="3"/>
  <c r="I32" i="3"/>
  <c r="I41" i="3" s="1"/>
  <c r="K27" i="3" l="1"/>
  <c r="K30" i="3" s="1"/>
  <c r="K32" i="3" s="1"/>
  <c r="I33" i="3"/>
  <c r="J30" i="3"/>
  <c r="L26" i="3"/>
  <c r="M23" i="3"/>
  <c r="L25" i="3"/>
  <c r="J32" i="3" l="1"/>
  <c r="J33" i="3" s="1"/>
  <c r="M26" i="3"/>
  <c r="M25" i="3"/>
  <c r="N23" i="3"/>
  <c r="L27" i="3"/>
  <c r="L30" i="3" s="1"/>
  <c r="L32" i="3" s="1"/>
  <c r="M27" i="3" l="1"/>
  <c r="M30" i="3" s="1"/>
  <c r="M32" i="3" s="1"/>
  <c r="K33" i="3"/>
  <c r="L33" i="3" s="1"/>
  <c r="N26" i="3"/>
  <c r="O23" i="3"/>
  <c r="N25" i="3"/>
  <c r="J41" i="3"/>
  <c r="N27" i="3" l="1"/>
  <c r="N30" i="3" s="1"/>
  <c r="N32" i="3" s="1"/>
  <c r="M33" i="3"/>
  <c r="K41" i="3"/>
  <c r="L41" i="3" s="1"/>
  <c r="M41" i="3" s="1"/>
  <c r="O25" i="3"/>
  <c r="O26" i="3"/>
  <c r="P23" i="3"/>
  <c r="N33" i="3" l="1"/>
  <c r="N41" i="3"/>
  <c r="P26" i="3"/>
  <c r="Q23" i="3"/>
  <c r="P25" i="3"/>
  <c r="O27" i="3"/>
  <c r="O30" i="3" s="1"/>
  <c r="O32" i="3" s="1"/>
  <c r="P27" i="3" l="1"/>
  <c r="P30" i="3" s="1"/>
  <c r="P32" i="3" s="1"/>
  <c r="Q26" i="3"/>
  <c r="R23" i="3"/>
  <c r="Q25" i="3"/>
  <c r="O33" i="3"/>
  <c r="O41" i="3"/>
  <c r="P41" i="3" l="1"/>
  <c r="Q27" i="3"/>
  <c r="Q30" i="3" s="1"/>
  <c r="Q32" i="3" s="1"/>
  <c r="P33" i="3"/>
  <c r="R25" i="3"/>
  <c r="R26" i="3"/>
  <c r="S23" i="3"/>
  <c r="Q41" i="3" l="1"/>
  <c r="Q33" i="3"/>
  <c r="S26" i="3"/>
  <c r="T23" i="3"/>
  <c r="S25" i="3"/>
  <c r="R27" i="3"/>
  <c r="R30" i="3" s="1"/>
  <c r="R32" i="3" s="1"/>
  <c r="R41" i="3" l="1"/>
  <c r="R33" i="3"/>
  <c r="S27" i="3"/>
  <c r="S30" i="3" s="1"/>
  <c r="S32" i="3" s="1"/>
  <c r="T25" i="3"/>
  <c r="T26" i="3"/>
  <c r="U23" i="3"/>
  <c r="S33" i="3" l="1"/>
  <c r="U26" i="3"/>
  <c r="V23" i="3"/>
  <c r="U25" i="3"/>
  <c r="T27" i="3"/>
  <c r="T30" i="3" s="1"/>
  <c r="T32" i="3" s="1"/>
  <c r="T33" i="3" s="1"/>
  <c r="S41" i="3"/>
  <c r="U27" i="3" l="1"/>
  <c r="U30" i="3" s="1"/>
  <c r="U32" i="3" s="1"/>
  <c r="U33" i="3" s="1"/>
  <c r="T41" i="3"/>
  <c r="V25" i="3"/>
  <c r="V26" i="3"/>
  <c r="W23" i="3"/>
  <c r="U41" i="3" l="1"/>
  <c r="V27" i="3"/>
  <c r="V30" i="3" s="1"/>
  <c r="V32" i="3" s="1"/>
  <c r="V33" i="3" s="1"/>
  <c r="W25" i="3"/>
  <c r="W26" i="3"/>
  <c r="X23" i="3"/>
  <c r="V41" i="3" l="1"/>
  <c r="X26" i="3"/>
  <c r="Y23" i="3"/>
  <c r="X25" i="3"/>
  <c r="W27" i="3"/>
  <c r="W30" i="3" s="1"/>
  <c r="W32" i="3" s="1"/>
  <c r="X27" i="3" l="1"/>
  <c r="X30" i="3" s="1"/>
  <c r="X32" i="3" s="1"/>
  <c r="W41" i="3"/>
  <c r="Y26" i="3"/>
  <c r="Z23" i="3"/>
  <c r="Y25" i="3"/>
  <c r="W33" i="3"/>
  <c r="X41" i="3" l="1"/>
  <c r="Y27" i="3"/>
  <c r="Y30" i="3" s="1"/>
  <c r="Y32" i="3" s="1"/>
  <c r="X33" i="3"/>
  <c r="Z25" i="3"/>
  <c r="Z26" i="3"/>
  <c r="AA26" i="3" s="1"/>
  <c r="Y41" i="3" l="1"/>
  <c r="Y33" i="3"/>
  <c r="Z27" i="3"/>
  <c r="AA25" i="3"/>
  <c r="Z30" i="3" l="1"/>
  <c r="AA27" i="3"/>
  <c r="Z32" i="3" l="1"/>
  <c r="AA30" i="3"/>
  <c r="C37" i="3" l="1"/>
  <c r="C38" i="3"/>
  <c r="AA32" i="3"/>
  <c r="Z41" i="3"/>
  <c r="C39" i="3" s="1"/>
  <c r="Z33" i="3"/>
  <c r="C40" i="3" s="1"/>
  <c r="C44" i="3" l="1"/>
</calcChain>
</file>

<file path=xl/sharedStrings.xml><?xml version="1.0" encoding="utf-8"?>
<sst xmlns="http://schemas.openxmlformats.org/spreadsheetml/2006/main" count="264" uniqueCount="245">
  <si>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</si>
  <si>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</si>
  <si>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</si>
  <si>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</si>
  <si>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</si>
  <si>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</si>
  <si>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</si>
  <si>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</si>
  <si>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</si>
  <si>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</si>
  <si>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</si>
  <si>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</si>
  <si>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</si>
  <si>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</si>
  <si>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</si>
  <si>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</si>
  <si>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</si>
  <si>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</si>
  <si>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</si>
  <si>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</si>
  <si>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</si>
  <si>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</si>
  <si>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</si>
  <si>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</si>
  <si>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</si>
  <si>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</si>
  <si>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</si>
  <si>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</si>
  <si>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</si>
  <si>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</si>
  <si>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</si>
  <si>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</si>
  <si>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</si>
  <si>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</si>
  <si>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</si>
  <si>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</si>
  <si>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</si>
  <si>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</si>
  <si>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</si>
  <si>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</si>
  <si>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</si>
  <si>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</si>
  <si>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</si>
  <si>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</si>
  <si>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</si>
  <si>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</si>
  <si>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</si>
  <si>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</si>
  <si>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</si>
  <si>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</si>
  <si>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</si>
  <si>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</si>
  <si>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</si>
  <si>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</si>
  <si>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</si>
  <si>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</si>
  <si>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</si>
  <si>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</si>
  <si>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</si>
  <si>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</si>
  <si>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</si>
  <si>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</si>
  <si>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</si>
  <si>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</si>
  <si>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</si>
  <si>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</si>
  <si>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</si>
  <si>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</si>
  <si>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</si>
  <si>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</si>
  <si>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</si>
  <si>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</si>
  <si>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</si>
  <si>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</si>
  <si>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</si>
  <si>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</si>
  <si>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</si>
  <si>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</si>
  <si>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</si>
  <si>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</si>
  <si>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</si>
  <si>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</si>
  <si>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</si>
  <si>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</si>
  <si>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</si>
  <si>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</si>
  <si>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</si>
  <si>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</si>
  <si>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</si>
  <si>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</si>
  <si>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</si>
  <si>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</si>
  <si>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</si>
  <si>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</si>
  <si>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</si>
  <si>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</si>
  <si>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</si>
  <si>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</si>
  <si>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</si>
  <si>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</si>
  <si>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</si>
  <si>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</si>
  <si>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</si>
  <si>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</si>
  <si>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</si>
  <si>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</si>
  <si>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</si>
  <si>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</si>
  <si>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</si>
  <si>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</si>
  <si>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</si>
  <si>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</si>
  <si>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</si>
  <si>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</si>
  <si>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</si>
  <si>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</si>
  <si>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</si>
  <si>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</si>
  <si>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</si>
  <si>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</si>
  <si>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</si>
  <si>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</si>
  <si>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</si>
  <si>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</si>
  <si>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</si>
  <si>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</si>
  <si>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</si>
  <si>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</si>
  <si>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</si>
  <si>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</si>
  <si>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</si>
  <si>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</si>
  <si>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</si>
  <si>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</si>
  <si>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</si>
  <si>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</si>
  <si>
    <t>Willing to pay của khách hàng như thế nào? =&gt; Willing to pay của ARPU =?
Customers: B2B</t>
  </si>
  <si>
    <t>GPT-5 mini optimized: $5–15 / khách / tháng 
Bao nhiêu khách hàng / tháng: 2 khách hàng
Tần xuất sử dụng feature: 1 tuần / 1 lần (thường cuối tuần để review &amp; làm report)
Mỗi user trong 1 tháng, trung bình họ phát sinh bao nhiêu transaction, để xem họ trả mình bao nhiêu tiền ? 
Tính bao nhiêu token/ turn ( gồm cả input &amp; output )</t>
  </si>
  <si>
    <t>Business Unit</t>
  </si>
  <si>
    <t>Ví dụ AI</t>
  </si>
  <si>
    <t>Số lượng AI systems (ước lượng)</t>
  </si>
  <si>
    <t>🚗 VinFast</t>
  </si>
  <si>
    <t>ADAS, driver monitoring, factory AI, in-car assistant</t>
  </si>
  <si>
    <t>🧠 VinAI</t>
  </si>
  <si>
    <t>Vision, NLP, speech, foundation models</t>
  </si>
  <si>
    <t>📊 VinBigData</t>
  </si>
  <si>
    <t>Chatbot, callbot, voice AI, data platform</t>
  </si>
  <si>
    <t>🏥 VinBrain / Vinmec</t>
  </si>
  <si>
    <t>VinDr, diagnosis AI, clinical support</t>
  </si>
  <si>
    <t>🏙️ Smart City / Vinhomes</t>
  </si>
  <si>
    <t>Camera AI, traffic AI, security</t>
  </si>
  <si>
    <t>🤖 Manufacturing / VinMotion</t>
  </si>
  <si>
    <t>Robot AI, automation, vision QC</t>
  </si>
  <si>
    <t>🏨 Vinpearl</t>
  </si>
  <si>
    <t>Pricing AI, recommendation, ops AI</t>
  </si>
  <si>
    <t>🔐 VinCSS</t>
  </si>
  <si>
    <t>Fraud detection, identity AI</t>
  </si>
  <si>
    <t>thiết kế mô hình quản lý và điều phối sp AI hiệu quả trong Vingroup</t>
  </si>
  <si>
    <t>Level</t>
  </si>
  <si>
    <t>Số lượng</t>
  </si>
  <si>
    <t>AI products / systems</t>
  </si>
  <si>
    <t>~80 – 150</t>
  </si>
  <si>
    <t>AI models / pipelines</t>
  </si>
  <si>
    <t>100 – 300+</t>
  </si>
  <si>
    <t>AI use cases (embedded)</t>
  </si>
  <si>
    <t>150 – 300+</t>
  </si>
  <si>
    <t>2. Tổng hợp toàn hệ sinh thái</t>
  </si>
  <si>
    <t>3. Phân tầng (rất quan trọng cho strategy)</t>
  </si>
  <si>
    <t>Layer</t>
  </si>
  <si>
    <t>Mô tả</t>
  </si>
  <si>
    <t>Core AI Platforms</t>
  </si>
  <si>
    <t>VinAI, VinBigData</t>
  </si>
  <si>
    <t>20–40</t>
  </si>
  <si>
    <t>Domain AI Systems</t>
  </si>
  <si>
    <t>VinFast, Vinmec, Smart City</t>
  </si>
  <si>
    <t>40–80</t>
  </si>
  <si>
    <t>Embedded AI</t>
  </si>
  <si>
    <t>camera, chatbot, automation</t>
  </si>
  <si>
    <t>50–100+</t>
  </si>
  <si>
    <t>4. Mapping theo mức độ usage (để tính cost/revenue)</t>
  </si>
  <si>
    <t>Mức độ</t>
  </si>
  <si>
    <t>% hệ thống</t>
  </si>
  <si>
    <t>Đặc điểm</t>
  </si>
  <si>
    <t>Low usage</t>
  </si>
  <si>
    <t>POC, research</t>
  </si>
  <si>
    <t>Medium</t>
  </si>
  <si>
    <t>internal tools</t>
  </si>
  <si>
    <t>High (production)</t>
  </si>
  <si>
    <t>always-on AI</t>
  </si>
  <si>
    <t>Số lượng trung bình</t>
  </si>
  <si>
    <t>Trung bình</t>
  </si>
  <si>
    <t>TrustLayer AI</t>
  </si>
  <si>
    <t>1 khách = 100 AI systems</t>
  </si>
  <si>
    <t>Large enterprise</t>
  </si>
  <si>
    <t>SMEs</t>
  </si>
  <si>
    <t>10 AI systems</t>
  </si>
  <si>
    <t>6. Impact tới business</t>
  </si>
  <si>
    <t>Metric</t>
  </si>
  <si>
    <t>Giá trị</t>
  </si>
  <si>
    <t>API cost</t>
  </si>
  <si>
    <t>$5 – $50</t>
  </si>
  <si>
    <t>Pricing potential</t>
  </si>
  <si>
    <t>$500 – $5,000+</t>
  </si>
  <si>
    <t>Margin</t>
  </si>
  <si>
    <t>90%+</t>
  </si>
  <si>
    <t>Selling for large-enterprises</t>
  </si>
  <si>
    <t>Ex: Vingroup Ecosystem</t>
  </si>
  <si>
    <t>1000 requests/ tháng cho 100 sp AI =&gt; Usage × Token × Price</t>
  </si>
  <si>
    <t>Tier</t>
  </si>
  <si>
    <t>Số systems</t>
  </si>
  <si>
    <t>Hành vi</t>
  </si>
  <si>
    <t>Low (POC, thử nghiệm)</t>
  </si>
  <si>
    <t>~10 req/tháng</t>
  </si>
  <si>
    <t>Medium (internal tools)</t>
  </si>
  <si>
    <t>~100 req/tháng</t>
  </si>
  <si>
    <t>~1,000 req/tháng</t>
  </si>
  <si>
    <r>
      <t>100 AI systems</t>
    </r>
    <r>
      <rPr>
        <sz val="11"/>
        <color theme="1"/>
        <rFont val="Calibri"/>
        <family val="2"/>
        <charset val="1"/>
      </rPr>
      <t>, chia theo maturity:</t>
    </r>
  </si>
  <si>
    <t>Giả định thực tế (enterprise-ready)</t>
  </si>
  <si>
    <t>Tổng: ~25,300 requests / tháng</t>
  </si>
  <si>
    <t>Giả định token / request</t>
  </si>
  <si>
    <t>Input: 1,000 tokens</t>
  </si>
  <si>
    <t>Output: 500 tokens</t>
  </si>
  <si>
    <t>Tổng tokens:</t>
  </si>
  <si>
    <r>
      <t xml:space="preserve">Input: 25,300 × 1,000 = </t>
    </r>
    <r>
      <rPr>
        <b/>
        <sz val="11"/>
        <color theme="1"/>
        <rFont val="Calibri"/>
        <family val="2"/>
        <charset val="1"/>
      </rPr>
      <t>25.3M</t>
    </r>
  </si>
  <si>
    <r>
      <t xml:space="preserve">Output: 25,300 × 500 = </t>
    </r>
    <r>
      <rPr>
        <b/>
        <sz val="11"/>
        <color theme="1"/>
        <rFont val="Calibri"/>
        <family val="2"/>
        <charset val="1"/>
      </rPr>
      <t>12.65M</t>
    </r>
  </si>
  <si>
    <t>4. Tính cost (GPT-5 mini – realistic choice)</t>
  </si>
  <si>
    <t>Input: $0.25 / 1M</t>
  </si>
  <si>
    <t>Output: $2 / 1M</t>
  </si>
  <si>
    <r>
      <t xml:space="preserve">👉 </t>
    </r>
    <r>
      <rPr>
        <b/>
        <sz val="11"/>
        <color theme="1"/>
        <rFont val="Calibri"/>
        <family val="2"/>
        <charset val="1"/>
      </rPr>
      <t>Tổng API cost / tháng:</t>
    </r>
  </si>
  <si>
    <t>👉 ~ $31 – $35</t>
  </si>
  <si>
    <t>Scenario</t>
  </si>
  <si>
    <t>Requests</t>
  </si>
  <si>
    <t>Cost</t>
  </si>
  <si>
    <t>Conservative</t>
  </si>
  <si>
    <t>~25K</t>
  </si>
  <si>
    <t>~$30</t>
  </si>
  <si>
    <t>Normal</t>
  </si>
  <si>
    <t>~50K</t>
  </si>
  <si>
    <t>~$60–80</t>
  </si>
  <si>
    <t>High usage</t>
  </si>
  <si>
    <t>~100K</t>
  </si>
  <si>
    <t>~$120–150</t>
  </si>
  <si>
    <t>Tại sao bạn chọn mức ARPU và CAC như trên? Logic gì để bảo vệ những con số này trước nhà đầu tư? Viết 2-3 câu…</t>
  </si>
  <si>
    <t>lí do vì sao chọn những chỉ số</t>
  </si>
  <si>
    <t>thay doi sau tunning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</si>
</sst>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000000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9" fillId="0" borderId="0" xfId="0" applyFont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top" wrapText="1" indent="1"/>
    </xf>
    <xf numFmtId="0" fontId="3" fillId="3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164" fontId="6" fillId="7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165" fontId="6" fillId="7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4" fillId="5" borderId="0" xfId="0" applyFont="1" applyFill="1" applyAlignment="1">
      <alignment horizontal="left" vertical="center"/>
    </xf>
    <xf numFmtId="166" fontId="4" fillId="5" borderId="0" xfId="0" applyNumberFormat="1" applyFont="1" applyFill="1" applyAlignment="1">
      <alignment horizontal="right" vertical="center"/>
    </xf>
    <xf numFmtId="0" fontId="0" fillId="5" borderId="0" xfId="0" applyFill="1"/>
    <xf numFmtId="164" fontId="4" fillId="5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4" fillId="5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0" fontId="2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indent="1"/>
    </xf>
    <xf numFmtId="164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0" fontId="14" fillId="5" borderId="0" xfId="0" applyFont="1" applyFill="1"/>
    <xf numFmtId="0" fontId="15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64" fontId="16" fillId="0" borderId="0" xfId="0" applyNumberFormat="1" applyFont="1" applyAlignment="1">
      <alignment horizontal="right"/>
    </xf>
    <xf numFmtId="164" fontId="14" fillId="0" borderId="0" xfId="0" applyNumberFormat="1" applyFont="1"/>
    <xf numFmtId="0" fontId="4" fillId="4" borderId="0" xfId="0" applyFont="1" applyFill="1" applyAlignment="1">
      <alignment horizontal="left" vertical="center"/>
    </xf>
    <xf numFmtId="164" fontId="15" fillId="4" borderId="0" xfId="0" applyNumberFormat="1" applyFont="1" applyFill="1" applyAlignment="1">
      <alignment horizontal="right"/>
    </xf>
    <xf numFmtId="164" fontId="14" fillId="4" borderId="0" xfId="0" applyNumberFormat="1" applyFont="1" applyFill="1"/>
    <xf numFmtId="164" fontId="15" fillId="0" borderId="0" xfId="0" applyNumberFormat="1" applyFont="1" applyAlignment="1">
      <alignment horizontal="right"/>
    </xf>
    <xf numFmtId="164" fontId="15" fillId="5" borderId="0" xfId="0" applyNumberFormat="1" applyFont="1" applyFill="1" applyAlignment="1">
      <alignment horizontal="right"/>
    </xf>
    <xf numFmtId="164" fontId="14" fillId="5" borderId="0" xfId="0" applyNumberFormat="1" applyFont="1" applyFill="1"/>
    <xf numFmtId="0" fontId="4" fillId="8" borderId="0" xfId="0" applyFont="1" applyFill="1" applyAlignment="1">
      <alignment horizontal="left" vertical="center"/>
    </xf>
    <xf numFmtId="164" fontId="15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/>
    <xf numFmtId="164" fontId="18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47"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11"/>
        <color rgb="FFDC2626"/>
        <name val="Arial"/>
        <charset val="1"/>
      </font>
      <fill>
        <patternFill>
          <bgColor rgb="FFFEE2E2"/>
        </patternFill>
      </fill>
    </dxf>
    <dxf>
      <font>
        <b/>
        <sz val="11"/>
        <color rgb="FF16A34A"/>
        <name val="Arial"/>
        <charset val="1"/>
      </font>
      <fill>
        <patternFill>
          <bgColor rgb="FFDCFCE7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9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  <dxf>
      <font>
        <b/>
        <sz val="10"/>
        <color rgb="FF16A34A"/>
        <name val="Arial"/>
        <charset val="1"/>
      </font>
      <fill>
        <patternFill>
          <bgColor rgb="FFDCFCE7"/>
        </patternFill>
      </fill>
    </dxf>
    <dxf>
      <font>
        <b/>
        <sz val="10"/>
        <color rgb="FFD97706"/>
        <name val="Arial"/>
        <charset val="1"/>
      </font>
      <fill>
        <patternFill>
          <bgColor rgb="FFFEF3C7"/>
        </patternFill>
      </fill>
    </dxf>
    <dxf>
      <font>
        <b/>
        <sz val="10"/>
        <color rgb="FFDC2626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6B92-95C5-448A-801F-844B92D09029}">
  <dimension ref="A1:H78"/>
  <sheetViews>
    <sheetView topLeftCell="A70" workbookViewId="0">
      <selection activeCell="B75" sqref="B75:D78"/>
    </sheetView>
  </sheetViews>
  <sheetFormatPr defaultRowHeight="15" x14ac:dyDescent="0.25"/>
  <cols>
    <col min="1" max="1" width="26" customWidth="1"/>
    <col min="2" max="2" width="34.42578125" customWidth="1"/>
    <col min="3" max="3" width="17.140625" customWidth="1"/>
    <col min="4" max="4" width="31.42578125" customWidth="1"/>
    <col min="5" max="5" width="20.28515625" customWidth="1"/>
  </cols>
  <sheetData>
    <row r="1" spans="1:8" x14ac:dyDescent="0.25">
      <c r="A1" t="s">
        <v>205</v>
      </c>
      <c r="B1" t="s">
        <v>206</v>
      </c>
    </row>
    <row r="3" spans="1:8" x14ac:dyDescent="0.25">
      <c r="B3" s="55" t="s">
        <v>138</v>
      </c>
      <c r="C3" s="55" t="s">
        <v>139</v>
      </c>
      <c r="D3" s="55" t="s">
        <v>140</v>
      </c>
      <c r="H3" t="s">
        <v>157</v>
      </c>
    </row>
    <row r="4" spans="1:8" ht="45" x14ac:dyDescent="0.25">
      <c r="B4" s="56" t="s">
        <v>141</v>
      </c>
      <c r="C4" s="56" t="s">
        <v>142</v>
      </c>
      <c r="D4" s="57">
        <v>20</v>
      </c>
    </row>
    <row r="5" spans="1:8" ht="30" x14ac:dyDescent="0.25">
      <c r="B5" s="56" t="s">
        <v>143</v>
      </c>
      <c r="C5" s="56" t="s">
        <v>144</v>
      </c>
      <c r="D5" s="57">
        <v>15</v>
      </c>
    </row>
    <row r="6" spans="1:8" ht="30" x14ac:dyDescent="0.25">
      <c r="B6" s="56" t="s">
        <v>145</v>
      </c>
      <c r="C6" s="56" t="s">
        <v>146</v>
      </c>
      <c r="D6" s="57">
        <v>20</v>
      </c>
    </row>
    <row r="7" spans="1:8" ht="30" x14ac:dyDescent="0.25">
      <c r="B7" s="56" t="s">
        <v>147</v>
      </c>
      <c r="C7" s="56" t="s">
        <v>148</v>
      </c>
      <c r="D7" s="57">
        <v>12</v>
      </c>
    </row>
    <row r="8" spans="1:8" ht="30" x14ac:dyDescent="0.25">
      <c r="B8" s="56" t="s">
        <v>149</v>
      </c>
      <c r="C8" s="56" t="s">
        <v>150</v>
      </c>
      <c r="D8" s="57">
        <v>15</v>
      </c>
    </row>
    <row r="9" spans="1:8" ht="30" x14ac:dyDescent="0.25">
      <c r="B9" s="56" t="s">
        <v>151</v>
      </c>
      <c r="C9" s="56" t="s">
        <v>152</v>
      </c>
      <c r="D9" s="57">
        <v>7</v>
      </c>
    </row>
    <row r="10" spans="1:8" ht="30" x14ac:dyDescent="0.25">
      <c r="B10" s="56" t="s">
        <v>153</v>
      </c>
      <c r="C10" s="56" t="s">
        <v>154</v>
      </c>
      <c r="D10" s="57">
        <v>7</v>
      </c>
    </row>
    <row r="11" spans="1:8" ht="30" x14ac:dyDescent="0.25">
      <c r="B11" s="56" t="s">
        <v>155</v>
      </c>
      <c r="C11" s="56" t="s">
        <v>156</v>
      </c>
      <c r="D11" s="57">
        <v>7</v>
      </c>
    </row>
    <row r="12" spans="1:8" x14ac:dyDescent="0.25">
      <c r="D12">
        <f>SUM(D4:D11)</f>
        <v>103</v>
      </c>
    </row>
    <row r="13" spans="1:8" x14ac:dyDescent="0.25">
      <c r="B13" t="s">
        <v>166</v>
      </c>
    </row>
    <row r="14" spans="1:8" x14ac:dyDescent="0.25">
      <c r="B14" s="55" t="s">
        <v>158</v>
      </c>
      <c r="C14" s="55" t="s">
        <v>159</v>
      </c>
      <c r="D14" t="s">
        <v>189</v>
      </c>
    </row>
    <row r="15" spans="1:8" ht="30" x14ac:dyDescent="0.25">
      <c r="B15" s="56" t="s">
        <v>160</v>
      </c>
      <c r="C15" s="57" t="s">
        <v>161</v>
      </c>
      <c r="D15">
        <v>110</v>
      </c>
    </row>
    <row r="16" spans="1:8" ht="30" x14ac:dyDescent="0.25">
      <c r="B16" s="56" t="s">
        <v>162</v>
      </c>
      <c r="C16" s="57" t="s">
        <v>163</v>
      </c>
      <c r="D16">
        <v>150</v>
      </c>
    </row>
    <row r="17" spans="2:5" ht="30" x14ac:dyDescent="0.25">
      <c r="B17" s="56" t="s">
        <v>164</v>
      </c>
      <c r="C17" s="57" t="s">
        <v>165</v>
      </c>
      <c r="D17">
        <v>220</v>
      </c>
    </row>
    <row r="20" spans="2:5" ht="45" x14ac:dyDescent="0.25">
      <c r="B20" s="56" t="s">
        <v>167</v>
      </c>
    </row>
    <row r="21" spans="2:5" ht="30" x14ac:dyDescent="0.25">
      <c r="B21" s="55" t="s">
        <v>168</v>
      </c>
      <c r="C21" s="55" t="s">
        <v>169</v>
      </c>
      <c r="D21" s="55" t="s">
        <v>159</v>
      </c>
      <c r="E21" s="55" t="s">
        <v>190</v>
      </c>
    </row>
    <row r="22" spans="2:5" x14ac:dyDescent="0.25">
      <c r="B22" s="56" t="s">
        <v>170</v>
      </c>
      <c r="C22" s="56" t="s">
        <v>171</v>
      </c>
      <c r="D22" s="56" t="s">
        <v>172</v>
      </c>
      <c r="E22">
        <v>30</v>
      </c>
    </row>
    <row r="23" spans="2:5" ht="30" x14ac:dyDescent="0.25">
      <c r="B23" s="56" t="s">
        <v>173</v>
      </c>
      <c r="C23" s="56" t="s">
        <v>174</v>
      </c>
      <c r="D23" s="56" t="s">
        <v>175</v>
      </c>
      <c r="E23">
        <v>60</v>
      </c>
    </row>
    <row r="24" spans="2:5" ht="30" x14ac:dyDescent="0.25">
      <c r="B24" s="56" t="s">
        <v>176</v>
      </c>
      <c r="C24" s="56" t="s">
        <v>177</v>
      </c>
      <c r="D24" s="56" t="s">
        <v>178</v>
      </c>
      <c r="E24">
        <v>70</v>
      </c>
    </row>
    <row r="27" spans="2:5" x14ac:dyDescent="0.25">
      <c r="B27" t="s">
        <v>179</v>
      </c>
    </row>
    <row r="28" spans="2:5" x14ac:dyDescent="0.25">
      <c r="B28" s="55" t="s">
        <v>180</v>
      </c>
      <c r="C28" s="55" t="s">
        <v>181</v>
      </c>
      <c r="D28" s="55" t="s">
        <v>182</v>
      </c>
    </row>
    <row r="29" spans="2:5" x14ac:dyDescent="0.25">
      <c r="B29" s="56" t="s">
        <v>183</v>
      </c>
      <c r="C29" s="58">
        <v>0.3</v>
      </c>
      <c r="D29" s="56" t="s">
        <v>184</v>
      </c>
    </row>
    <row r="30" spans="2:5" x14ac:dyDescent="0.25">
      <c r="B30" s="56" t="s">
        <v>185</v>
      </c>
      <c r="C30" s="58">
        <v>0.5</v>
      </c>
      <c r="D30" s="56" t="s">
        <v>186</v>
      </c>
    </row>
    <row r="31" spans="2:5" x14ac:dyDescent="0.25">
      <c r="B31" s="56" t="s">
        <v>187</v>
      </c>
      <c r="C31" s="58">
        <v>0.2</v>
      </c>
      <c r="D31" s="56" t="s">
        <v>188</v>
      </c>
    </row>
    <row r="35" spans="2:5" x14ac:dyDescent="0.25">
      <c r="C35" t="s">
        <v>193</v>
      </c>
      <c r="D35" t="s">
        <v>194</v>
      </c>
    </row>
    <row r="36" spans="2:5" x14ac:dyDescent="0.25">
      <c r="B36" t="s">
        <v>191</v>
      </c>
      <c r="C36" s="54" t="s">
        <v>192</v>
      </c>
      <c r="D36" t="s">
        <v>195</v>
      </c>
    </row>
    <row r="39" spans="2:5" x14ac:dyDescent="0.25">
      <c r="B39" t="s">
        <v>196</v>
      </c>
    </row>
    <row r="40" spans="2:5" x14ac:dyDescent="0.25">
      <c r="B40" s="55" t="s">
        <v>197</v>
      </c>
      <c r="C40" s="55" t="s">
        <v>198</v>
      </c>
    </row>
    <row r="41" spans="2:5" x14ac:dyDescent="0.25">
      <c r="B41" s="56" t="s">
        <v>199</v>
      </c>
      <c r="C41" s="56" t="s">
        <v>200</v>
      </c>
    </row>
    <row r="42" spans="2:5" x14ac:dyDescent="0.25">
      <c r="B42" s="56" t="s">
        <v>201</v>
      </c>
      <c r="C42" s="56" t="s">
        <v>202</v>
      </c>
    </row>
    <row r="43" spans="2:5" x14ac:dyDescent="0.25">
      <c r="B43" s="56" t="s">
        <v>203</v>
      </c>
      <c r="C43" s="56" t="s">
        <v>204</v>
      </c>
    </row>
    <row r="47" spans="2:5" x14ac:dyDescent="0.25">
      <c r="B47" t="s">
        <v>217</v>
      </c>
      <c r="D47" s="59" t="s">
        <v>216</v>
      </c>
    </row>
    <row r="48" spans="2:5" x14ac:dyDescent="0.25">
      <c r="B48" s="55" t="s">
        <v>208</v>
      </c>
      <c r="C48" s="55" t="s">
        <v>27</v>
      </c>
      <c r="D48" s="55" t="s">
        <v>209</v>
      </c>
      <c r="E48" s="55" t="s">
        <v>210</v>
      </c>
    </row>
    <row r="49" spans="2:5" ht="27" customHeight="1" x14ac:dyDescent="0.25">
      <c r="B49" s="56" t="s">
        <v>211</v>
      </c>
      <c r="C49" s="58">
        <v>0.3</v>
      </c>
      <c r="D49" s="56">
        <v>30</v>
      </c>
      <c r="E49" s="56" t="s">
        <v>212</v>
      </c>
    </row>
    <row r="50" spans="2:5" ht="27" customHeight="1" x14ac:dyDescent="0.25">
      <c r="B50" s="56" t="s">
        <v>213</v>
      </c>
      <c r="C50" s="58">
        <v>0.5</v>
      </c>
      <c r="D50" s="56">
        <v>50</v>
      </c>
      <c r="E50" s="56" t="s">
        <v>214</v>
      </c>
    </row>
    <row r="51" spans="2:5" ht="27" customHeight="1" x14ac:dyDescent="0.25">
      <c r="B51" s="56" t="s">
        <v>187</v>
      </c>
      <c r="C51" s="58">
        <v>0.2</v>
      </c>
      <c r="D51" s="56">
        <v>20</v>
      </c>
      <c r="E51" s="56" t="s">
        <v>215</v>
      </c>
    </row>
    <row r="53" spans="2:5" x14ac:dyDescent="0.25">
      <c r="B53" t="s">
        <v>218</v>
      </c>
    </row>
    <row r="54" spans="2:5" ht="31.5" x14ac:dyDescent="0.25">
      <c r="B54" s="60" t="s">
        <v>219</v>
      </c>
    </row>
    <row r="55" spans="2:5" x14ac:dyDescent="0.25">
      <c r="B55" s="61"/>
    </row>
    <row r="56" spans="2:5" x14ac:dyDescent="0.25">
      <c r="B56" s="61" t="s">
        <v>220</v>
      </c>
    </row>
    <row r="57" spans="2:5" x14ac:dyDescent="0.25">
      <c r="B57" s="61" t="s">
        <v>221</v>
      </c>
    </row>
    <row r="58" spans="2:5" x14ac:dyDescent="0.25">
      <c r="B58" t="s">
        <v>222</v>
      </c>
    </row>
    <row r="59" spans="2:5" x14ac:dyDescent="0.25">
      <c r="B59" s="61"/>
    </row>
    <row r="60" spans="2:5" x14ac:dyDescent="0.25">
      <c r="B60" s="61" t="s">
        <v>223</v>
      </c>
    </row>
    <row r="61" spans="2:5" x14ac:dyDescent="0.25">
      <c r="B61" s="61" t="s">
        <v>224</v>
      </c>
    </row>
    <row r="63" spans="2:5" ht="31.5" x14ac:dyDescent="0.25">
      <c r="B63" s="60" t="s">
        <v>225</v>
      </c>
    </row>
    <row r="64" spans="2:5" x14ac:dyDescent="0.25">
      <c r="B64" s="61"/>
    </row>
    <row r="65" spans="2:4" x14ac:dyDescent="0.25">
      <c r="B65" s="61" t="s">
        <v>226</v>
      </c>
    </row>
    <row r="66" spans="2:4" x14ac:dyDescent="0.25">
      <c r="B66" s="61" t="s">
        <v>227</v>
      </c>
    </row>
    <row r="69" spans="2:4" x14ac:dyDescent="0.25">
      <c r="B69" t="s">
        <v>228</v>
      </c>
    </row>
    <row r="71" spans="2:4" ht="31.5" x14ac:dyDescent="0.25">
      <c r="B71" s="60" t="s">
        <v>229</v>
      </c>
    </row>
    <row r="75" spans="2:4" x14ac:dyDescent="0.25">
      <c r="B75" s="55" t="s">
        <v>230</v>
      </c>
      <c r="C75" s="55" t="s">
        <v>231</v>
      </c>
      <c r="D75" s="55" t="s">
        <v>232</v>
      </c>
    </row>
    <row r="76" spans="2:4" x14ac:dyDescent="0.25">
      <c r="B76" s="56" t="s">
        <v>233</v>
      </c>
      <c r="C76" s="56" t="s">
        <v>234</v>
      </c>
      <c r="D76" s="56" t="s">
        <v>235</v>
      </c>
    </row>
    <row r="77" spans="2:4" x14ac:dyDescent="0.25">
      <c r="B77" s="56" t="s">
        <v>236</v>
      </c>
      <c r="C77" s="56" t="s">
        <v>237</v>
      </c>
      <c r="D77" s="56" t="s">
        <v>238</v>
      </c>
    </row>
    <row r="78" spans="2:4" x14ac:dyDescent="0.25">
      <c r="B78" s="56" t="s">
        <v>239</v>
      </c>
      <c r="C78" s="56" t="s">
        <v>240</v>
      </c>
      <c r="D78" s="56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tabSelected="1" zoomScaleNormal="100" workbookViewId="0">
      <pane ySplit="5" topLeftCell="A9" activePane="bottomLeft" state="frozen"/>
      <selection pane="bottomLeft" activeCell="B45" sqref="B45"/>
    </sheetView>
  </sheetViews>
  <sheetFormatPr defaultColWidth="8.7109375" defaultRowHeight="15" x14ac:dyDescent="0.2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  <col min="8" max="8" width="35.28515625" customWidth="1"/>
    <col min="9" max="9" width="39.7109375" customWidth="1"/>
  </cols>
  <sheetData>
    <row r="2" spans="2:9" ht="30" customHeight="1" x14ac:dyDescent="0.25">
      <c r="B2" s="5" t="s">
        <v>0</v>
      </c>
      <c r="C2" s="5"/>
      <c r="D2" s="5"/>
      <c r="E2" s="5"/>
      <c r="F2" s="5"/>
    </row>
    <row r="3" spans="2:9" ht="19.5" customHeight="1" x14ac:dyDescent="0.25">
      <c r="B3" s="4" t="s">
        <v>1</v>
      </c>
      <c r="C3" s="4"/>
      <c r="D3" s="4"/>
      <c r="E3" s="4"/>
      <c r="F3" s="4"/>
      <c r="G3" s="4"/>
    </row>
    <row r="5" spans="2:9" x14ac:dyDescent="0.25">
      <c r="B5" s="3" t="s">
        <v>2</v>
      </c>
      <c r="C5" s="3"/>
      <c r="D5" s="3"/>
      <c r="E5" s="3"/>
      <c r="F5" s="3"/>
    </row>
    <row r="6" spans="2:9" x14ac:dyDescent="0.25">
      <c r="C6" s="6" t="s">
        <v>3</v>
      </c>
      <c r="D6" s="7" t="s">
        <v>4</v>
      </c>
      <c r="E6" s="8" t="s">
        <v>5</v>
      </c>
      <c r="F6" s="9" t="s">
        <v>6</v>
      </c>
      <c r="G6" s="10" t="s">
        <v>7</v>
      </c>
    </row>
    <row r="7" spans="2:9" ht="56.25" customHeight="1" x14ac:dyDescent="0.25">
      <c r="B7" s="11" t="s">
        <v>8</v>
      </c>
      <c r="C7" s="12">
        <v>800000</v>
      </c>
      <c r="D7" s="12">
        <v>1700</v>
      </c>
      <c r="E7" s="12">
        <v>450000</v>
      </c>
      <c r="F7" s="13" t="s">
        <v>9</v>
      </c>
      <c r="G7" s="14" t="s">
        <v>10</v>
      </c>
      <c r="H7" s="54" t="s">
        <v>136</v>
      </c>
      <c r="I7" s="54" t="s">
        <v>137</v>
      </c>
    </row>
    <row r="8" spans="2:9" x14ac:dyDescent="0.25">
      <c r="B8" s="11" t="s">
        <v>11</v>
      </c>
      <c r="C8" s="15">
        <v>1.2E-2</v>
      </c>
      <c r="D8" s="15">
        <v>6.0000000000000001E-3</v>
      </c>
      <c r="E8" s="15">
        <v>2E-3</v>
      </c>
      <c r="F8" s="13" t="s">
        <v>12</v>
      </c>
      <c r="G8" s="14" t="s">
        <v>13</v>
      </c>
    </row>
    <row r="9" spans="2:9" x14ac:dyDescent="0.25">
      <c r="B9" s="11" t="s">
        <v>14</v>
      </c>
      <c r="C9" s="12">
        <v>50000</v>
      </c>
      <c r="D9" s="12">
        <v>2</v>
      </c>
      <c r="E9" s="12">
        <v>50000</v>
      </c>
      <c r="F9" s="13" t="s">
        <v>15</v>
      </c>
      <c r="G9" s="14" t="s">
        <v>16</v>
      </c>
    </row>
    <row r="11" spans="2:9" x14ac:dyDescent="0.25">
      <c r="B11" s="3" t="s">
        <v>17</v>
      </c>
      <c r="C11" s="3"/>
      <c r="D11" s="3"/>
      <c r="E11" s="3"/>
      <c r="F11" s="3"/>
    </row>
    <row r="12" spans="2:9" x14ac:dyDescent="0.25">
      <c r="B12" s="11" t="s">
        <v>18</v>
      </c>
      <c r="C12" s="12">
        <v>100000</v>
      </c>
      <c r="D12" s="12">
        <v>75</v>
      </c>
      <c r="E12" s="12">
        <v>200000</v>
      </c>
      <c r="F12" s="13" t="s">
        <v>9</v>
      </c>
      <c r="G12" s="14" t="s">
        <v>19</v>
      </c>
      <c r="H12" t="s">
        <v>207</v>
      </c>
    </row>
    <row r="13" spans="2:9" x14ac:dyDescent="0.25">
      <c r="B13" s="11" t="s">
        <v>20</v>
      </c>
      <c r="C13" s="12">
        <v>30000</v>
      </c>
      <c r="D13" s="12">
        <v>950</v>
      </c>
      <c r="E13" s="12">
        <v>100000</v>
      </c>
      <c r="F13" s="13" t="s">
        <v>9</v>
      </c>
      <c r="G13" s="14" t="s">
        <v>21</v>
      </c>
    </row>
    <row r="14" spans="2:9" x14ac:dyDescent="0.25">
      <c r="B14" s="11" t="s">
        <v>22</v>
      </c>
      <c r="C14" s="12">
        <v>20000</v>
      </c>
      <c r="D14" s="12">
        <v>350</v>
      </c>
      <c r="E14" s="12">
        <v>50000</v>
      </c>
      <c r="F14" s="13" t="s">
        <v>9</v>
      </c>
      <c r="G14" s="14" t="s">
        <v>23</v>
      </c>
    </row>
    <row r="15" spans="2:9" x14ac:dyDescent="0.25">
      <c r="B15" s="16" t="s">
        <v>24</v>
      </c>
      <c r="C15" s="17">
        <f>C12+C13+C14</f>
        <v>150000</v>
      </c>
      <c r="D15" s="17">
        <f>D12+D13+D14</f>
        <v>1375</v>
      </c>
      <c r="E15" s="17">
        <f>E12+E13+E14</f>
        <v>350000</v>
      </c>
      <c r="F15" s="18"/>
    </row>
    <row r="17" spans="2:7" x14ac:dyDescent="0.25">
      <c r="B17" s="3" t="s">
        <v>25</v>
      </c>
      <c r="C17" s="3"/>
      <c r="D17" s="3"/>
      <c r="E17" s="3"/>
      <c r="F17" s="3"/>
    </row>
    <row r="18" spans="2:7" x14ac:dyDescent="0.25">
      <c r="B18" s="11" t="s">
        <v>26</v>
      </c>
      <c r="C18" s="15">
        <v>0.03</v>
      </c>
      <c r="D18" s="15">
        <v>0.05</v>
      </c>
      <c r="E18" s="15">
        <v>0.08</v>
      </c>
      <c r="F18" s="13" t="s">
        <v>27</v>
      </c>
      <c r="G18" s="14" t="s">
        <v>28</v>
      </c>
    </row>
    <row r="19" spans="2:7" x14ac:dyDescent="0.25">
      <c r="B19" s="19" t="s">
        <v>29</v>
      </c>
      <c r="C19" s="20">
        <f>IFERROR(1/C18,0)</f>
        <v>33.333333333333336</v>
      </c>
      <c r="D19" s="20">
        <f>IFERROR(1/D18,0)</f>
        <v>20</v>
      </c>
      <c r="E19" s="20">
        <f>IFERROR(1/E18,0)</f>
        <v>12.5</v>
      </c>
      <c r="F19" s="21"/>
    </row>
    <row r="21" spans="2:7" x14ac:dyDescent="0.25">
      <c r="B21" s="3" t="s">
        <v>30</v>
      </c>
      <c r="C21" s="3"/>
      <c r="D21" s="3"/>
      <c r="E21" s="3"/>
      <c r="F21" s="3"/>
    </row>
    <row r="22" spans="2:7" x14ac:dyDescent="0.25">
      <c r="B22" s="11" t="s">
        <v>31</v>
      </c>
      <c r="C22" s="12">
        <v>800000</v>
      </c>
      <c r="D22" s="12">
        <v>500</v>
      </c>
      <c r="E22" s="12">
        <v>2500000</v>
      </c>
      <c r="F22" s="13" t="s">
        <v>9</v>
      </c>
      <c r="G22" s="14" t="s">
        <v>32</v>
      </c>
    </row>
    <row r="24" spans="2:7" x14ac:dyDescent="0.25">
      <c r="B24" s="3" t="s">
        <v>33</v>
      </c>
      <c r="C24" s="3"/>
      <c r="D24" s="3"/>
      <c r="E24" s="3"/>
      <c r="F24" s="3"/>
    </row>
    <row r="25" spans="2:7" x14ac:dyDescent="0.25">
      <c r="B25" s="11" t="s">
        <v>34</v>
      </c>
      <c r="C25" s="12">
        <v>80000000</v>
      </c>
      <c r="D25" s="12">
        <v>100000000</v>
      </c>
      <c r="E25" s="12">
        <v>120000000</v>
      </c>
      <c r="F25" s="13" t="s">
        <v>35</v>
      </c>
      <c r="G25" s="14" t="s">
        <v>36</v>
      </c>
    </row>
    <row r="26" spans="2:7" x14ac:dyDescent="0.25">
      <c r="B26" s="11" t="s">
        <v>37</v>
      </c>
      <c r="C26" s="12">
        <v>15000000</v>
      </c>
      <c r="D26" s="12">
        <v>20000000</v>
      </c>
      <c r="E26" s="12">
        <v>25000000</v>
      </c>
      <c r="F26" s="13" t="s">
        <v>35</v>
      </c>
    </row>
    <row r="27" spans="2:7" x14ac:dyDescent="0.25">
      <c r="B27" s="11" t="s">
        <v>38</v>
      </c>
      <c r="C27" s="12">
        <v>50000000</v>
      </c>
      <c r="D27" s="12">
        <v>80000000</v>
      </c>
      <c r="E27" s="12">
        <v>100000000</v>
      </c>
      <c r="F27" s="13" t="s">
        <v>35</v>
      </c>
    </row>
    <row r="28" spans="2:7" x14ac:dyDescent="0.25">
      <c r="B28" s="19" t="s">
        <v>39</v>
      </c>
      <c r="C28" s="22">
        <f>SUM(C25:C27)</f>
        <v>145000000</v>
      </c>
      <c r="D28" s="22">
        <f>SUM(D25:D27)</f>
        <v>200000000</v>
      </c>
      <c r="E28" s="22">
        <f>SUM(E25:E27)</f>
        <v>245000000</v>
      </c>
      <c r="F28" s="21"/>
    </row>
    <row r="30" spans="2:7" x14ac:dyDescent="0.25">
      <c r="B30" s="3" t="s">
        <v>40</v>
      </c>
      <c r="C30" s="3"/>
      <c r="D30" s="3"/>
      <c r="E30" s="3"/>
      <c r="F30" s="3"/>
    </row>
    <row r="31" spans="2:7" x14ac:dyDescent="0.25">
      <c r="B31" s="11" t="s">
        <v>41</v>
      </c>
      <c r="C31" s="12">
        <v>500000000</v>
      </c>
      <c r="D31" s="12">
        <v>500000000</v>
      </c>
      <c r="E31" s="12">
        <v>500000000</v>
      </c>
      <c r="F31" s="13" t="s">
        <v>9</v>
      </c>
      <c r="G31" s="14" t="s">
        <v>42</v>
      </c>
    </row>
    <row r="32" spans="2:7" x14ac:dyDescent="0.25">
      <c r="B32" s="11" t="s">
        <v>43</v>
      </c>
      <c r="C32" s="12">
        <v>3000000000</v>
      </c>
      <c r="D32" s="12">
        <v>3000000000</v>
      </c>
      <c r="E32" s="12">
        <v>3000000000</v>
      </c>
      <c r="F32" s="13" t="s">
        <v>9</v>
      </c>
      <c r="G32" s="14" t="s">
        <v>44</v>
      </c>
    </row>
    <row r="34" spans="2:7" x14ac:dyDescent="0.25">
      <c r="B34" s="3" t="s">
        <v>45</v>
      </c>
      <c r="C34" s="3"/>
      <c r="D34" s="3"/>
      <c r="E34" s="3"/>
      <c r="F34" s="3"/>
    </row>
    <row r="35" spans="2:7" x14ac:dyDescent="0.25">
      <c r="B35" s="11" t="s">
        <v>46</v>
      </c>
      <c r="C35" s="15">
        <v>0.2</v>
      </c>
      <c r="D35" s="15">
        <v>0.2</v>
      </c>
      <c r="E35" s="15">
        <v>0.2</v>
      </c>
      <c r="F35" s="13" t="s">
        <v>47</v>
      </c>
      <c r="G35" s="14" t="s">
        <v>48</v>
      </c>
    </row>
    <row r="36" spans="2:7" x14ac:dyDescent="0.25">
      <c r="B36" s="19" t="s">
        <v>49</v>
      </c>
      <c r="C36" s="23">
        <f>(1+C35)^(1/12)-1</f>
        <v>1.5309470499731193E-2</v>
      </c>
      <c r="D36" s="23">
        <f>(1+D35)^(1/12)-1</f>
        <v>1.5309470499731193E-2</v>
      </c>
      <c r="E36" s="23">
        <f>(1+E35)^(1/12)-1</f>
        <v>1.5309470499731193E-2</v>
      </c>
      <c r="F36" s="21"/>
    </row>
    <row r="38" spans="2:7" x14ac:dyDescent="0.25">
      <c r="B38" s="3" t="s">
        <v>50</v>
      </c>
      <c r="C38" s="3"/>
      <c r="D38" s="3"/>
      <c r="E38" s="3"/>
      <c r="F38" s="3"/>
    </row>
    <row r="39" spans="2:7" ht="24.75" customHeight="1" x14ac:dyDescent="0.25">
      <c r="B39" s="2" t="s">
        <v>242</v>
      </c>
      <c r="C39" s="2"/>
      <c r="D39" s="2"/>
      <c r="E39" s="2"/>
      <c r="F39" s="2"/>
    </row>
    <row r="40" spans="2:7" ht="24.75" customHeight="1" x14ac:dyDescent="0.25">
      <c r="B40" s="2"/>
      <c r="C40" s="2"/>
      <c r="D40" s="2"/>
      <c r="E40" s="2"/>
      <c r="F40" s="2"/>
    </row>
    <row r="41" spans="2:7" ht="24.75" customHeight="1" x14ac:dyDescent="0.25">
      <c r="B41" s="2"/>
      <c r="C41" s="2"/>
      <c r="D41" s="2"/>
      <c r="E41" s="2"/>
      <c r="F41" s="2"/>
    </row>
    <row r="43" spans="2:7" x14ac:dyDescent="0.25">
      <c r="B43" t="s">
        <v>243</v>
      </c>
    </row>
    <row r="44" spans="2:7" x14ac:dyDescent="0.25">
      <c r="B44" t="s">
        <v>244</v>
      </c>
    </row>
  </sheetData>
  <mergeCells count="11">
    <mergeCell ref="B39:F41"/>
    <mergeCell ref="B21:F21"/>
    <mergeCell ref="B24:F24"/>
    <mergeCell ref="B30:F30"/>
    <mergeCell ref="B34:F34"/>
    <mergeCell ref="B38:F38"/>
    <mergeCell ref="B2:F2"/>
    <mergeCell ref="B3:G3"/>
    <mergeCell ref="B5:F5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25">
      <c r="B2" s="5" t="s">
        <v>51</v>
      </c>
      <c r="C2" s="5"/>
      <c r="D2" s="5"/>
      <c r="E2" s="5"/>
      <c r="F2" s="5"/>
    </row>
    <row r="3" spans="2:7" ht="19.5" customHeight="1" x14ac:dyDescent="0.25">
      <c r="B3" s="4" t="s">
        <v>52</v>
      </c>
      <c r="C3" s="4"/>
      <c r="D3" s="4"/>
      <c r="E3" s="4"/>
      <c r="F3" s="4"/>
      <c r="G3" s="4"/>
    </row>
    <row r="5" spans="2:7" x14ac:dyDescent="0.25">
      <c r="B5" s="10" t="s">
        <v>53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54</v>
      </c>
    </row>
    <row r="7" spans="2:7" x14ac:dyDescent="0.25">
      <c r="B7" s="3" t="s">
        <v>55</v>
      </c>
      <c r="C7" s="3"/>
      <c r="D7" s="3"/>
      <c r="E7" s="3"/>
      <c r="F7" s="3"/>
    </row>
    <row r="8" spans="2:7" x14ac:dyDescent="0.25">
      <c r="B8" s="11" t="s">
        <v>56</v>
      </c>
      <c r="C8" s="24">
        <f>'1. Assumptions'!C7</f>
        <v>800000</v>
      </c>
      <c r="D8" s="24">
        <f>'1. Assumptions'!D7</f>
        <v>1700</v>
      </c>
      <c r="E8" s="24">
        <f>'1. Assumptions'!E7</f>
        <v>450000</v>
      </c>
      <c r="F8" s="13" t="s">
        <v>9</v>
      </c>
      <c r="G8" s="14" t="s">
        <v>57</v>
      </c>
    </row>
    <row r="9" spans="2:7" x14ac:dyDescent="0.25">
      <c r="B9" s="11" t="s">
        <v>58</v>
      </c>
      <c r="C9" s="24">
        <f>'1. Assumptions'!C15</f>
        <v>150000</v>
      </c>
      <c r="D9" s="24">
        <f>'1. Assumptions'!D15</f>
        <v>1375</v>
      </c>
      <c r="E9" s="24">
        <f>'1. Assumptions'!E15</f>
        <v>350000</v>
      </c>
      <c r="F9" s="13" t="s">
        <v>9</v>
      </c>
    </row>
    <row r="10" spans="2:7" x14ac:dyDescent="0.25">
      <c r="B10" s="19" t="s">
        <v>59</v>
      </c>
      <c r="C10" s="22">
        <f>C8-C9</f>
        <v>650000</v>
      </c>
      <c r="D10" s="22">
        <f>D8-D9</f>
        <v>325</v>
      </c>
      <c r="E10" s="22">
        <f>E8-E9</f>
        <v>100000</v>
      </c>
      <c r="F10" s="21"/>
    </row>
    <row r="11" spans="2:7" x14ac:dyDescent="0.25">
      <c r="B11" s="19" t="s">
        <v>60</v>
      </c>
      <c r="C11" s="23">
        <f>IFERROR(C10/C8,0)</f>
        <v>0.8125</v>
      </c>
      <c r="D11" s="23">
        <f>IFERROR(D10/D8,0)</f>
        <v>0.19117647058823528</v>
      </c>
      <c r="E11" s="23">
        <f>IFERROR(E10/E8,0)</f>
        <v>0.22222222222222221</v>
      </c>
      <c r="F11" s="21"/>
      <c r="G11" s="14" t="s">
        <v>61</v>
      </c>
    </row>
    <row r="13" spans="2:7" x14ac:dyDescent="0.25">
      <c r="B13" s="3" t="s">
        <v>62</v>
      </c>
      <c r="C13" s="3"/>
      <c r="D13" s="3"/>
      <c r="E13" s="3"/>
      <c r="F13" s="3"/>
    </row>
    <row r="14" spans="2:7" x14ac:dyDescent="0.25">
      <c r="B14" s="11" t="s">
        <v>63</v>
      </c>
      <c r="C14" s="25">
        <f>'1. Assumptions'!C19</f>
        <v>33.333333333333336</v>
      </c>
      <c r="D14" s="25">
        <f>'1. Assumptions'!D19</f>
        <v>20</v>
      </c>
      <c r="E14" s="25">
        <f>'1. Assumptions'!E19</f>
        <v>12.5</v>
      </c>
      <c r="F14" s="13" t="s">
        <v>64</v>
      </c>
    </row>
    <row r="15" spans="2:7" x14ac:dyDescent="0.25">
      <c r="B15" s="19" t="s">
        <v>65</v>
      </c>
      <c r="C15" s="22">
        <f>C10*C14</f>
        <v>21666666.666666668</v>
      </c>
      <c r="D15" s="22">
        <f>D10*D14</f>
        <v>6500</v>
      </c>
      <c r="E15" s="22">
        <f>E10*E14</f>
        <v>1250000</v>
      </c>
      <c r="F15" s="21"/>
      <c r="G15" s="14" t="s">
        <v>66</v>
      </c>
    </row>
    <row r="17" spans="2:7" x14ac:dyDescent="0.25">
      <c r="B17" s="3" t="s">
        <v>67</v>
      </c>
      <c r="C17" s="3"/>
      <c r="D17" s="3"/>
      <c r="E17" s="3"/>
      <c r="F17" s="3"/>
    </row>
    <row r="18" spans="2:7" x14ac:dyDescent="0.25">
      <c r="B18" s="11" t="s">
        <v>68</v>
      </c>
      <c r="C18" s="24">
        <f>'1. Assumptions'!C22</f>
        <v>800000</v>
      </c>
      <c r="D18" s="24">
        <f>'1. Assumptions'!D22</f>
        <v>500</v>
      </c>
      <c r="E18" s="24">
        <f>'1. Assumptions'!E22</f>
        <v>2500000</v>
      </c>
      <c r="F18" s="13" t="s">
        <v>9</v>
      </c>
    </row>
    <row r="20" spans="2:7" x14ac:dyDescent="0.25">
      <c r="B20" s="3" t="s">
        <v>69</v>
      </c>
      <c r="C20" s="3"/>
      <c r="D20" s="3"/>
      <c r="E20" s="3"/>
      <c r="F20" s="3"/>
    </row>
    <row r="21" spans="2:7" x14ac:dyDescent="0.25">
      <c r="B21" s="19" t="s">
        <v>70</v>
      </c>
      <c r="C21" s="26">
        <f>IFERROR(C15/C18,0)</f>
        <v>27.083333333333336</v>
      </c>
      <c r="D21" s="26">
        <f>IFERROR(D15/D18,0)</f>
        <v>13</v>
      </c>
      <c r="E21" s="26">
        <f>IFERROR(E15/E18,0)</f>
        <v>0.5</v>
      </c>
      <c r="F21" s="21"/>
      <c r="G21" s="14" t="s">
        <v>71</v>
      </c>
    </row>
    <row r="22" spans="2:7" x14ac:dyDescent="0.25">
      <c r="B22" s="19" t="s">
        <v>72</v>
      </c>
      <c r="C22" s="20">
        <f>IFERROR(C18/C10,0)</f>
        <v>1.2307692307692308</v>
      </c>
      <c r="D22" s="20">
        <f>IFERROR(D18/D10,0)</f>
        <v>1.5384615384615385</v>
      </c>
      <c r="E22" s="20">
        <f>IFERROR(E18/E10,0)</f>
        <v>25</v>
      </c>
      <c r="F22" s="21"/>
      <c r="G22" s="14" t="s">
        <v>73</v>
      </c>
    </row>
    <row r="24" spans="2:7" x14ac:dyDescent="0.25">
      <c r="B24" s="3" t="s">
        <v>74</v>
      </c>
      <c r="C24" s="3"/>
      <c r="D24" s="3"/>
      <c r="E24" s="3"/>
      <c r="F24" s="3"/>
    </row>
    <row r="25" spans="2:7" x14ac:dyDescent="0.25">
      <c r="B25" s="10" t="s">
        <v>75</v>
      </c>
      <c r="C25" s="27" t="str">
        <f>IF(AND(C21&gt;=3,C22&lt;=12),"✓ HEALTHY",IF(OR(C21&lt;1,C22&gt;18),"✗ UNHEALTHY","⚠ WATCH"))</f>
        <v>✓ HEALTHY</v>
      </c>
      <c r="D25" s="27" t="str">
        <f>IF(AND(D21&gt;=3,D22&lt;=12),"✓ HEALTHY",IF(OR(D21&lt;1,D22&gt;18),"✗ UNHEALTHY","⚠ WATCH"))</f>
        <v>✓ HEALTHY</v>
      </c>
      <c r="E25" s="27" t="str">
        <f>IF(AND(E21&gt;=3,E22&lt;=12),"✓ HEALTHY",IF(OR(E21&lt;1,E22&gt;18),"✗ UNHEALTHY","⚠ WATCH"))</f>
        <v>✗ UNHEALTHY</v>
      </c>
    </row>
  </sheetData>
  <mergeCells count="7">
    <mergeCell ref="B20:F20"/>
    <mergeCell ref="B24:F24"/>
    <mergeCell ref="B2:F2"/>
    <mergeCell ref="B3:G3"/>
    <mergeCell ref="B7:F7"/>
    <mergeCell ref="B13:F13"/>
    <mergeCell ref="B17:F17"/>
  </mergeCells>
  <conditionalFormatting sqref="C21">
    <cfRule type="cellIs" dxfId="46" priority="2" operator="lessThan">
      <formula>1</formula>
    </cfRule>
    <cfRule type="cellIs" dxfId="45" priority="3" operator="between">
      <formula>1</formula>
      <formula>3</formula>
    </cfRule>
    <cfRule type="cellIs" dxfId="44" priority="4" operator="greaterThanOrEqual">
      <formula>3</formula>
    </cfRule>
  </conditionalFormatting>
  <conditionalFormatting sqref="D21">
    <cfRule type="cellIs" dxfId="43" priority="5" operator="lessThan">
      <formula>1</formula>
    </cfRule>
    <cfRule type="cellIs" dxfId="42" priority="6" operator="between">
      <formula>1</formula>
      <formula>3</formula>
    </cfRule>
    <cfRule type="cellIs" dxfId="41" priority="7" operator="greaterThanOrEqual">
      <formula>3</formula>
    </cfRule>
  </conditionalFormatting>
  <conditionalFormatting sqref="E21">
    <cfRule type="cellIs" dxfId="40" priority="8" operator="lessThan">
      <formula>1</formula>
    </cfRule>
    <cfRule type="cellIs" dxfId="39" priority="9" operator="between">
      <formula>1</formula>
      <formula>3</formula>
    </cfRule>
    <cfRule type="cellIs" dxfId="38" priority="10" operator="greaterThanOrEqual">
      <formula>3</formula>
    </cfRule>
  </conditionalFormatting>
  <conditionalFormatting sqref="C22">
    <cfRule type="cellIs" dxfId="37" priority="11" operator="greaterThan">
      <formula>18</formula>
    </cfRule>
    <cfRule type="cellIs" dxfId="36" priority="12" operator="between">
      <formula>12</formula>
      <formula>18</formula>
    </cfRule>
    <cfRule type="cellIs" dxfId="35" priority="13" operator="lessThanOrEqual">
      <formula>12</formula>
    </cfRule>
  </conditionalFormatting>
  <conditionalFormatting sqref="D22">
    <cfRule type="cellIs" dxfId="34" priority="14" operator="greaterThan">
      <formula>18</formula>
    </cfRule>
    <cfRule type="cellIs" dxfId="33" priority="15" operator="between">
      <formula>12</formula>
      <formula>18</formula>
    </cfRule>
    <cfRule type="cellIs" dxfId="32" priority="16" operator="lessThanOrEqual">
      <formula>12</formula>
    </cfRule>
  </conditionalFormatting>
  <conditionalFormatting sqref="E22">
    <cfRule type="cellIs" dxfId="31" priority="17" operator="greaterThan">
      <formula>18</formula>
    </cfRule>
    <cfRule type="cellIs" dxfId="30" priority="18" operator="between">
      <formula>12</formula>
      <formula>18</formula>
    </cfRule>
    <cfRule type="cellIs" dxfId="29" priority="19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zoomScaleNormal="100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/>
    </sheetView>
  </sheetViews>
  <sheetFormatPr defaultColWidth="8.7109375" defaultRowHeight="15" x14ac:dyDescent="0.25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customHeight="1" x14ac:dyDescent="0.25">
      <c r="B2" s="5" t="s">
        <v>76</v>
      </c>
      <c r="C2" s="5"/>
      <c r="D2" s="5"/>
      <c r="E2" s="5"/>
      <c r="F2" s="5"/>
      <c r="G2" s="5"/>
      <c r="H2" s="5"/>
    </row>
    <row r="4" spans="2:8" ht="15" customHeight="1" x14ac:dyDescent="0.25">
      <c r="B4" s="28" t="s">
        <v>77</v>
      </c>
      <c r="C4" s="29" t="s">
        <v>4</v>
      </c>
      <c r="D4" s="4" t="s">
        <v>78</v>
      </c>
      <c r="E4" s="4"/>
      <c r="F4" s="4"/>
      <c r="G4" s="4"/>
      <c r="H4" s="4"/>
    </row>
    <row r="6" spans="2:8" x14ac:dyDescent="0.25">
      <c r="B6" s="30" t="s">
        <v>79</v>
      </c>
      <c r="C6" s="30">
        <f>MATCH(C4,{"Optimistic","Base","Pessimistic"},0)</f>
        <v>2</v>
      </c>
    </row>
    <row r="7" spans="2:8" x14ac:dyDescent="0.25">
      <c r="B7" s="31" t="s">
        <v>80</v>
      </c>
    </row>
    <row r="8" spans="2:8" x14ac:dyDescent="0.25">
      <c r="B8" s="32" t="s">
        <v>81</v>
      </c>
      <c r="C8" s="33">
        <f>CHOOSE($C$6,'1. Assumptions'!C7,'1. Assumptions'!D7,'1. Assumptions'!E7)</f>
        <v>1700</v>
      </c>
    </row>
    <row r="9" spans="2:8" x14ac:dyDescent="0.25">
      <c r="B9" s="32" t="s">
        <v>82</v>
      </c>
      <c r="C9" s="34">
        <f>CHOOSE($C$6,'1. Assumptions'!C8,'1. Assumptions'!D8,'1. Assumptions'!E8)</f>
        <v>6.0000000000000001E-3</v>
      </c>
    </row>
    <row r="10" spans="2:8" x14ac:dyDescent="0.25">
      <c r="B10" s="32" t="s">
        <v>83</v>
      </c>
      <c r="C10" s="33">
        <f>CHOOSE($C$6,'1. Assumptions'!C9,'1. Assumptions'!D9,'1. Assumptions'!E9)</f>
        <v>2</v>
      </c>
    </row>
    <row r="11" spans="2:8" x14ac:dyDescent="0.25">
      <c r="B11" s="32" t="s">
        <v>84</v>
      </c>
      <c r="C11" s="33">
        <f>CHOOSE($C$6,'1. Assumptions'!C15,'1. Assumptions'!D15,'1. Assumptions'!E15)</f>
        <v>1375</v>
      </c>
    </row>
    <row r="12" spans="2:8" x14ac:dyDescent="0.25">
      <c r="B12" s="32" t="s">
        <v>85</v>
      </c>
      <c r="C12" s="34">
        <f>CHOOSE($C$6,'1. Assumptions'!C18,'1. Assumptions'!D18,'1. Assumptions'!E18)</f>
        <v>0.05</v>
      </c>
    </row>
    <row r="13" spans="2:8" x14ac:dyDescent="0.25">
      <c r="B13" s="32" t="s">
        <v>86</v>
      </c>
      <c r="C13" s="33">
        <f>CHOOSE($C$6,'1. Assumptions'!C22,'1. Assumptions'!D22,'1. Assumptions'!E22)</f>
        <v>500</v>
      </c>
    </row>
    <row r="14" spans="2:8" x14ac:dyDescent="0.25">
      <c r="B14" s="32" t="s">
        <v>87</v>
      </c>
      <c r="C14" s="33">
        <f>CHOOSE($C$6,'1. Assumptions'!C28,'1. Assumptions'!D28,'1. Assumptions'!E28)</f>
        <v>200000000</v>
      </c>
    </row>
    <row r="15" spans="2:8" x14ac:dyDescent="0.25">
      <c r="B15" s="32" t="s">
        <v>88</v>
      </c>
      <c r="C15" s="33">
        <f>CHOOSE($C$6,'1. Assumptions'!C31,'1. Assumptions'!D31,'1. Assumptions'!E31)</f>
        <v>500000000</v>
      </c>
    </row>
    <row r="16" spans="2:8" x14ac:dyDescent="0.25">
      <c r="B16" s="32" t="s">
        <v>89</v>
      </c>
      <c r="C16" s="33">
        <f>CHOOSE($C$6,'1. Assumptions'!C32,'1. Assumptions'!D32,'1. Assumptions'!E32)</f>
        <v>3000000000</v>
      </c>
    </row>
    <row r="17" spans="2:27" x14ac:dyDescent="0.25">
      <c r="B17" s="32" t="s">
        <v>90</v>
      </c>
      <c r="C17" s="34">
        <f>CHOOSE($C$6,'1. Assumptions'!C36,'1. Assumptions'!D36,'1. Assumptions'!E36)</f>
        <v>1.5309470499731193E-2</v>
      </c>
    </row>
    <row r="20" spans="2:27" x14ac:dyDescent="0.25">
      <c r="B20" s="3" t="s">
        <v>91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x14ac:dyDescent="0.25">
      <c r="B21" s="35" t="s">
        <v>92</v>
      </c>
      <c r="C21" s="36" t="s">
        <v>93</v>
      </c>
      <c r="D21" s="36" t="s">
        <v>94</v>
      </c>
      <c r="E21" s="36" t="s">
        <v>95</v>
      </c>
      <c r="F21" s="36" t="s">
        <v>96</v>
      </c>
      <c r="G21" s="36" t="s">
        <v>97</v>
      </c>
      <c r="H21" s="36" t="s">
        <v>98</v>
      </c>
      <c r="I21" s="36" t="s">
        <v>99</v>
      </c>
      <c r="J21" s="36" t="s">
        <v>100</v>
      </c>
      <c r="K21" s="36" t="s">
        <v>101</v>
      </c>
      <c r="L21" s="36" t="s">
        <v>102</v>
      </c>
      <c r="M21" s="36" t="s">
        <v>103</v>
      </c>
      <c r="N21" s="36" t="s">
        <v>104</v>
      </c>
      <c r="O21" s="36" t="s">
        <v>105</v>
      </c>
      <c r="P21" s="36" t="s">
        <v>106</v>
      </c>
      <c r="Q21" s="36" t="s">
        <v>107</v>
      </c>
      <c r="R21" s="36" t="s">
        <v>108</v>
      </c>
      <c r="S21" s="36" t="s">
        <v>109</v>
      </c>
      <c r="T21" s="36" t="s">
        <v>110</v>
      </c>
      <c r="U21" s="36" t="s">
        <v>111</v>
      </c>
      <c r="V21" s="36" t="s">
        <v>112</v>
      </c>
      <c r="W21" s="36" t="s">
        <v>113</v>
      </c>
      <c r="X21" s="36" t="s">
        <v>114</v>
      </c>
      <c r="Y21" s="36" t="s">
        <v>115</v>
      </c>
      <c r="Z21" s="36" t="s">
        <v>116</v>
      </c>
      <c r="AA21" s="37" t="s">
        <v>117</v>
      </c>
    </row>
    <row r="22" spans="2:27" x14ac:dyDescent="0.25">
      <c r="B22" s="11" t="s">
        <v>118</v>
      </c>
      <c r="C22" s="38">
        <f t="shared" ref="C22:Z22" si="0">ROUND($C$10*$C$9,0)</f>
        <v>0</v>
      </c>
      <c r="D22" s="38">
        <f t="shared" si="0"/>
        <v>0</v>
      </c>
      <c r="E22" s="38">
        <f t="shared" si="0"/>
        <v>0</v>
      </c>
      <c r="F22" s="38">
        <f t="shared" si="0"/>
        <v>0</v>
      </c>
      <c r="G22" s="38">
        <f t="shared" si="0"/>
        <v>0</v>
      </c>
      <c r="H22" s="38">
        <f t="shared" si="0"/>
        <v>0</v>
      </c>
      <c r="I22" s="38">
        <f t="shared" si="0"/>
        <v>0</v>
      </c>
      <c r="J22" s="38">
        <f t="shared" si="0"/>
        <v>0</v>
      </c>
      <c r="K22" s="38">
        <f t="shared" si="0"/>
        <v>0</v>
      </c>
      <c r="L22" s="38">
        <f t="shared" si="0"/>
        <v>0</v>
      </c>
      <c r="M22" s="38">
        <f t="shared" si="0"/>
        <v>0</v>
      </c>
      <c r="N22" s="38">
        <f t="shared" si="0"/>
        <v>0</v>
      </c>
      <c r="O22" s="38">
        <f t="shared" si="0"/>
        <v>0</v>
      </c>
      <c r="P22" s="38">
        <f t="shared" si="0"/>
        <v>0</v>
      </c>
      <c r="Q22" s="38">
        <f t="shared" si="0"/>
        <v>0</v>
      </c>
      <c r="R22" s="38">
        <f t="shared" si="0"/>
        <v>0</v>
      </c>
      <c r="S22" s="38">
        <f t="shared" si="0"/>
        <v>0</v>
      </c>
      <c r="T22" s="38">
        <f t="shared" si="0"/>
        <v>0</v>
      </c>
      <c r="U22" s="38">
        <f t="shared" si="0"/>
        <v>0</v>
      </c>
      <c r="V22" s="38">
        <f t="shared" si="0"/>
        <v>0</v>
      </c>
      <c r="W22" s="38">
        <f t="shared" si="0"/>
        <v>0</v>
      </c>
      <c r="X22" s="38">
        <f t="shared" si="0"/>
        <v>0</v>
      </c>
      <c r="Y22" s="38">
        <f t="shared" si="0"/>
        <v>0</v>
      </c>
      <c r="Z22" s="38">
        <f t="shared" si="0"/>
        <v>0</v>
      </c>
      <c r="AA22" s="39">
        <f>SUM(C22:Z22)</f>
        <v>0</v>
      </c>
    </row>
    <row r="23" spans="2:27" x14ac:dyDescent="0.25">
      <c r="B23" s="11" t="s">
        <v>119</v>
      </c>
      <c r="C23" s="38">
        <f>C22</f>
        <v>0</v>
      </c>
      <c r="D23" s="38">
        <f t="shared" ref="D23:Z23" si="1">C23*(1-$C$12)+D22</f>
        <v>0</v>
      </c>
      <c r="E23" s="38">
        <f t="shared" si="1"/>
        <v>0</v>
      </c>
      <c r="F23" s="38">
        <f t="shared" si="1"/>
        <v>0</v>
      </c>
      <c r="G23" s="38">
        <f t="shared" si="1"/>
        <v>0</v>
      </c>
      <c r="H23" s="38">
        <f t="shared" si="1"/>
        <v>0</v>
      </c>
      <c r="I23" s="38">
        <f t="shared" si="1"/>
        <v>0</v>
      </c>
      <c r="J23" s="38">
        <f t="shared" si="1"/>
        <v>0</v>
      </c>
      <c r="K23" s="38">
        <f t="shared" si="1"/>
        <v>0</v>
      </c>
      <c r="L23" s="38">
        <f t="shared" si="1"/>
        <v>0</v>
      </c>
      <c r="M23" s="38">
        <f t="shared" si="1"/>
        <v>0</v>
      </c>
      <c r="N23" s="38">
        <f t="shared" si="1"/>
        <v>0</v>
      </c>
      <c r="O23" s="38">
        <f t="shared" si="1"/>
        <v>0</v>
      </c>
      <c r="P23" s="38">
        <f t="shared" si="1"/>
        <v>0</v>
      </c>
      <c r="Q23" s="38">
        <f t="shared" si="1"/>
        <v>0</v>
      </c>
      <c r="R23" s="38">
        <f t="shared" si="1"/>
        <v>0</v>
      </c>
      <c r="S23" s="38">
        <f t="shared" si="1"/>
        <v>0</v>
      </c>
      <c r="T23" s="38">
        <f t="shared" si="1"/>
        <v>0</v>
      </c>
      <c r="U23" s="38">
        <f t="shared" si="1"/>
        <v>0</v>
      </c>
      <c r="V23" s="38">
        <f t="shared" si="1"/>
        <v>0</v>
      </c>
      <c r="W23" s="38">
        <f t="shared" si="1"/>
        <v>0</v>
      </c>
      <c r="X23" s="38">
        <f t="shared" si="1"/>
        <v>0</v>
      </c>
      <c r="Y23" s="38">
        <f t="shared" si="1"/>
        <v>0</v>
      </c>
      <c r="Z23" s="38">
        <f t="shared" si="1"/>
        <v>0</v>
      </c>
    </row>
    <row r="25" spans="2:27" x14ac:dyDescent="0.25">
      <c r="B25" s="40" t="s">
        <v>120</v>
      </c>
      <c r="C25" s="41">
        <f t="shared" ref="C25:Z25" si="2">C23*$C$8</f>
        <v>0</v>
      </c>
      <c r="D25" s="41">
        <f t="shared" si="2"/>
        <v>0</v>
      </c>
      <c r="E25" s="41">
        <f t="shared" si="2"/>
        <v>0</v>
      </c>
      <c r="F25" s="41">
        <f t="shared" si="2"/>
        <v>0</v>
      </c>
      <c r="G25" s="41">
        <f t="shared" si="2"/>
        <v>0</v>
      </c>
      <c r="H25" s="41">
        <f t="shared" si="2"/>
        <v>0</v>
      </c>
      <c r="I25" s="41">
        <f t="shared" si="2"/>
        <v>0</v>
      </c>
      <c r="J25" s="41">
        <f t="shared" si="2"/>
        <v>0</v>
      </c>
      <c r="K25" s="41">
        <f t="shared" si="2"/>
        <v>0</v>
      </c>
      <c r="L25" s="41">
        <f t="shared" si="2"/>
        <v>0</v>
      </c>
      <c r="M25" s="41">
        <f t="shared" si="2"/>
        <v>0</v>
      </c>
      <c r="N25" s="41">
        <f t="shared" si="2"/>
        <v>0</v>
      </c>
      <c r="O25" s="41">
        <f t="shared" si="2"/>
        <v>0</v>
      </c>
      <c r="P25" s="41">
        <f t="shared" si="2"/>
        <v>0</v>
      </c>
      <c r="Q25" s="41">
        <f t="shared" si="2"/>
        <v>0</v>
      </c>
      <c r="R25" s="41">
        <f t="shared" si="2"/>
        <v>0</v>
      </c>
      <c r="S25" s="41">
        <f t="shared" si="2"/>
        <v>0</v>
      </c>
      <c r="T25" s="41">
        <f t="shared" si="2"/>
        <v>0</v>
      </c>
      <c r="U25" s="41">
        <f t="shared" si="2"/>
        <v>0</v>
      </c>
      <c r="V25" s="41">
        <f t="shared" si="2"/>
        <v>0</v>
      </c>
      <c r="W25" s="41">
        <f t="shared" si="2"/>
        <v>0</v>
      </c>
      <c r="X25" s="41">
        <f t="shared" si="2"/>
        <v>0</v>
      </c>
      <c r="Y25" s="41">
        <f t="shared" si="2"/>
        <v>0</v>
      </c>
      <c r="Z25" s="41">
        <f t="shared" si="2"/>
        <v>0</v>
      </c>
      <c r="AA25" s="42">
        <f t="shared" ref="AA25:AA30" si="3">SUM(C25:Z25)</f>
        <v>0</v>
      </c>
    </row>
    <row r="26" spans="2:27" x14ac:dyDescent="0.25">
      <c r="B26" s="11" t="s">
        <v>121</v>
      </c>
      <c r="C26" s="38">
        <f t="shared" ref="C26:Z26" si="4">C23*$C$11</f>
        <v>0</v>
      </c>
      <c r="D26" s="38">
        <f t="shared" si="4"/>
        <v>0</v>
      </c>
      <c r="E26" s="38">
        <f t="shared" si="4"/>
        <v>0</v>
      </c>
      <c r="F26" s="38">
        <f t="shared" si="4"/>
        <v>0</v>
      </c>
      <c r="G26" s="38">
        <f t="shared" si="4"/>
        <v>0</v>
      </c>
      <c r="H26" s="38">
        <f t="shared" si="4"/>
        <v>0</v>
      </c>
      <c r="I26" s="38">
        <f t="shared" si="4"/>
        <v>0</v>
      </c>
      <c r="J26" s="38">
        <f t="shared" si="4"/>
        <v>0</v>
      </c>
      <c r="K26" s="38">
        <f t="shared" si="4"/>
        <v>0</v>
      </c>
      <c r="L26" s="38">
        <f t="shared" si="4"/>
        <v>0</v>
      </c>
      <c r="M26" s="38">
        <f t="shared" si="4"/>
        <v>0</v>
      </c>
      <c r="N26" s="38">
        <f t="shared" si="4"/>
        <v>0</v>
      </c>
      <c r="O26" s="38">
        <f t="shared" si="4"/>
        <v>0</v>
      </c>
      <c r="P26" s="38">
        <f t="shared" si="4"/>
        <v>0</v>
      </c>
      <c r="Q26" s="38">
        <f t="shared" si="4"/>
        <v>0</v>
      </c>
      <c r="R26" s="38">
        <f t="shared" si="4"/>
        <v>0</v>
      </c>
      <c r="S26" s="38">
        <f t="shared" si="4"/>
        <v>0</v>
      </c>
      <c r="T26" s="38">
        <f t="shared" si="4"/>
        <v>0</v>
      </c>
      <c r="U26" s="38">
        <f t="shared" si="4"/>
        <v>0</v>
      </c>
      <c r="V26" s="38">
        <f t="shared" si="4"/>
        <v>0</v>
      </c>
      <c r="W26" s="38">
        <f t="shared" si="4"/>
        <v>0</v>
      </c>
      <c r="X26" s="38">
        <f t="shared" si="4"/>
        <v>0</v>
      </c>
      <c r="Y26" s="38">
        <f t="shared" si="4"/>
        <v>0</v>
      </c>
      <c r="Z26" s="38">
        <f t="shared" si="4"/>
        <v>0</v>
      </c>
      <c r="AA26" s="39">
        <f t="shared" si="3"/>
        <v>0</v>
      </c>
    </row>
    <row r="27" spans="2:27" x14ac:dyDescent="0.25">
      <c r="B27" s="10" t="s">
        <v>122</v>
      </c>
      <c r="C27" s="43">
        <f t="shared" ref="C27:Z27" si="5">C25-C26</f>
        <v>0</v>
      </c>
      <c r="D27" s="43">
        <f t="shared" si="5"/>
        <v>0</v>
      </c>
      <c r="E27" s="43">
        <f t="shared" si="5"/>
        <v>0</v>
      </c>
      <c r="F27" s="43">
        <f t="shared" si="5"/>
        <v>0</v>
      </c>
      <c r="G27" s="43">
        <f t="shared" si="5"/>
        <v>0</v>
      </c>
      <c r="H27" s="43">
        <f t="shared" si="5"/>
        <v>0</v>
      </c>
      <c r="I27" s="43">
        <f t="shared" si="5"/>
        <v>0</v>
      </c>
      <c r="J27" s="43">
        <f t="shared" si="5"/>
        <v>0</v>
      </c>
      <c r="K27" s="43">
        <f t="shared" si="5"/>
        <v>0</v>
      </c>
      <c r="L27" s="43">
        <f t="shared" si="5"/>
        <v>0</v>
      </c>
      <c r="M27" s="43">
        <f t="shared" si="5"/>
        <v>0</v>
      </c>
      <c r="N27" s="43">
        <f t="shared" si="5"/>
        <v>0</v>
      </c>
      <c r="O27" s="43">
        <f t="shared" si="5"/>
        <v>0</v>
      </c>
      <c r="P27" s="43">
        <f t="shared" si="5"/>
        <v>0</v>
      </c>
      <c r="Q27" s="43">
        <f t="shared" si="5"/>
        <v>0</v>
      </c>
      <c r="R27" s="43">
        <f t="shared" si="5"/>
        <v>0</v>
      </c>
      <c r="S27" s="43">
        <f t="shared" si="5"/>
        <v>0</v>
      </c>
      <c r="T27" s="43">
        <f t="shared" si="5"/>
        <v>0</v>
      </c>
      <c r="U27" s="43">
        <f t="shared" si="5"/>
        <v>0</v>
      </c>
      <c r="V27" s="43">
        <f t="shared" si="5"/>
        <v>0</v>
      </c>
      <c r="W27" s="43">
        <f t="shared" si="5"/>
        <v>0</v>
      </c>
      <c r="X27" s="43">
        <f t="shared" si="5"/>
        <v>0</v>
      </c>
      <c r="Y27" s="43">
        <f t="shared" si="5"/>
        <v>0</v>
      </c>
      <c r="Z27" s="43">
        <f t="shared" si="5"/>
        <v>0</v>
      </c>
      <c r="AA27" s="39">
        <f t="shared" si="3"/>
        <v>0</v>
      </c>
    </row>
    <row r="28" spans="2:27" x14ac:dyDescent="0.25">
      <c r="B28" s="11" t="s">
        <v>123</v>
      </c>
      <c r="C28" s="38">
        <f t="shared" ref="C28:Z28" si="6">C22*$C$13</f>
        <v>0</v>
      </c>
      <c r="D28" s="38">
        <f t="shared" si="6"/>
        <v>0</v>
      </c>
      <c r="E28" s="38">
        <f t="shared" si="6"/>
        <v>0</v>
      </c>
      <c r="F28" s="38">
        <f t="shared" si="6"/>
        <v>0</v>
      </c>
      <c r="G28" s="38">
        <f t="shared" si="6"/>
        <v>0</v>
      </c>
      <c r="H28" s="38">
        <f t="shared" si="6"/>
        <v>0</v>
      </c>
      <c r="I28" s="38">
        <f t="shared" si="6"/>
        <v>0</v>
      </c>
      <c r="J28" s="38">
        <f t="shared" si="6"/>
        <v>0</v>
      </c>
      <c r="K28" s="38">
        <f t="shared" si="6"/>
        <v>0</v>
      </c>
      <c r="L28" s="38">
        <f t="shared" si="6"/>
        <v>0</v>
      </c>
      <c r="M28" s="38">
        <f t="shared" si="6"/>
        <v>0</v>
      </c>
      <c r="N28" s="38">
        <f t="shared" si="6"/>
        <v>0</v>
      </c>
      <c r="O28" s="38">
        <f t="shared" si="6"/>
        <v>0</v>
      </c>
      <c r="P28" s="38">
        <f t="shared" si="6"/>
        <v>0</v>
      </c>
      <c r="Q28" s="38">
        <f t="shared" si="6"/>
        <v>0</v>
      </c>
      <c r="R28" s="38">
        <f t="shared" si="6"/>
        <v>0</v>
      </c>
      <c r="S28" s="38">
        <f t="shared" si="6"/>
        <v>0</v>
      </c>
      <c r="T28" s="38">
        <f t="shared" si="6"/>
        <v>0</v>
      </c>
      <c r="U28" s="38">
        <f t="shared" si="6"/>
        <v>0</v>
      </c>
      <c r="V28" s="38">
        <f t="shared" si="6"/>
        <v>0</v>
      </c>
      <c r="W28" s="38">
        <f t="shared" si="6"/>
        <v>0</v>
      </c>
      <c r="X28" s="38">
        <f t="shared" si="6"/>
        <v>0</v>
      </c>
      <c r="Y28" s="38">
        <f t="shared" si="6"/>
        <v>0</v>
      </c>
      <c r="Z28" s="38">
        <f t="shared" si="6"/>
        <v>0</v>
      </c>
      <c r="AA28" s="39">
        <f t="shared" si="3"/>
        <v>0</v>
      </c>
    </row>
    <row r="29" spans="2:27" x14ac:dyDescent="0.25">
      <c r="B29" s="11" t="s">
        <v>124</v>
      </c>
      <c r="C29" s="38">
        <f t="shared" ref="C29:Z29" si="7">$C$14</f>
        <v>200000000</v>
      </c>
      <c r="D29" s="38">
        <f t="shared" si="7"/>
        <v>200000000</v>
      </c>
      <c r="E29" s="38">
        <f t="shared" si="7"/>
        <v>200000000</v>
      </c>
      <c r="F29" s="38">
        <f t="shared" si="7"/>
        <v>200000000</v>
      </c>
      <c r="G29" s="38">
        <f t="shared" si="7"/>
        <v>200000000</v>
      </c>
      <c r="H29" s="38">
        <f t="shared" si="7"/>
        <v>200000000</v>
      </c>
      <c r="I29" s="38">
        <f t="shared" si="7"/>
        <v>200000000</v>
      </c>
      <c r="J29" s="38">
        <f t="shared" si="7"/>
        <v>200000000</v>
      </c>
      <c r="K29" s="38">
        <f t="shared" si="7"/>
        <v>200000000</v>
      </c>
      <c r="L29" s="38">
        <f t="shared" si="7"/>
        <v>200000000</v>
      </c>
      <c r="M29" s="38">
        <f t="shared" si="7"/>
        <v>200000000</v>
      </c>
      <c r="N29" s="38">
        <f t="shared" si="7"/>
        <v>200000000</v>
      </c>
      <c r="O29" s="38">
        <f t="shared" si="7"/>
        <v>200000000</v>
      </c>
      <c r="P29" s="38">
        <f t="shared" si="7"/>
        <v>200000000</v>
      </c>
      <c r="Q29" s="38">
        <f t="shared" si="7"/>
        <v>200000000</v>
      </c>
      <c r="R29" s="38">
        <f t="shared" si="7"/>
        <v>200000000</v>
      </c>
      <c r="S29" s="38">
        <f t="shared" si="7"/>
        <v>200000000</v>
      </c>
      <c r="T29" s="38">
        <f t="shared" si="7"/>
        <v>200000000</v>
      </c>
      <c r="U29" s="38">
        <f t="shared" si="7"/>
        <v>200000000</v>
      </c>
      <c r="V29" s="38">
        <f t="shared" si="7"/>
        <v>200000000</v>
      </c>
      <c r="W29" s="38">
        <f t="shared" si="7"/>
        <v>200000000</v>
      </c>
      <c r="X29" s="38">
        <f t="shared" si="7"/>
        <v>200000000</v>
      </c>
      <c r="Y29" s="38">
        <f t="shared" si="7"/>
        <v>200000000</v>
      </c>
      <c r="Z29" s="38">
        <f t="shared" si="7"/>
        <v>200000000</v>
      </c>
      <c r="AA29" s="39">
        <f t="shared" si="3"/>
        <v>4800000000</v>
      </c>
    </row>
    <row r="30" spans="2:27" x14ac:dyDescent="0.25">
      <c r="B30" s="19" t="s">
        <v>125</v>
      </c>
      <c r="C30" s="44">
        <f t="shared" ref="C30:Z30" si="8">C27-C28-C29</f>
        <v>-200000000</v>
      </c>
      <c r="D30" s="44">
        <f t="shared" si="8"/>
        <v>-200000000</v>
      </c>
      <c r="E30" s="44">
        <f t="shared" si="8"/>
        <v>-200000000</v>
      </c>
      <c r="F30" s="44">
        <f t="shared" si="8"/>
        <v>-200000000</v>
      </c>
      <c r="G30" s="44">
        <f t="shared" si="8"/>
        <v>-200000000</v>
      </c>
      <c r="H30" s="44">
        <f t="shared" si="8"/>
        <v>-200000000</v>
      </c>
      <c r="I30" s="44">
        <f t="shared" si="8"/>
        <v>-200000000</v>
      </c>
      <c r="J30" s="44">
        <f t="shared" si="8"/>
        <v>-200000000</v>
      </c>
      <c r="K30" s="44">
        <f t="shared" si="8"/>
        <v>-200000000</v>
      </c>
      <c r="L30" s="44">
        <f t="shared" si="8"/>
        <v>-200000000</v>
      </c>
      <c r="M30" s="44">
        <f t="shared" si="8"/>
        <v>-200000000</v>
      </c>
      <c r="N30" s="44">
        <f t="shared" si="8"/>
        <v>-200000000</v>
      </c>
      <c r="O30" s="44">
        <f t="shared" si="8"/>
        <v>-200000000</v>
      </c>
      <c r="P30" s="44">
        <f t="shared" si="8"/>
        <v>-200000000</v>
      </c>
      <c r="Q30" s="44">
        <f t="shared" si="8"/>
        <v>-200000000</v>
      </c>
      <c r="R30" s="44">
        <f t="shared" si="8"/>
        <v>-200000000</v>
      </c>
      <c r="S30" s="44">
        <f t="shared" si="8"/>
        <v>-200000000</v>
      </c>
      <c r="T30" s="44">
        <f t="shared" si="8"/>
        <v>-200000000</v>
      </c>
      <c r="U30" s="44">
        <f t="shared" si="8"/>
        <v>-200000000</v>
      </c>
      <c r="V30" s="44">
        <f t="shared" si="8"/>
        <v>-200000000</v>
      </c>
      <c r="W30" s="44">
        <f t="shared" si="8"/>
        <v>-200000000</v>
      </c>
      <c r="X30" s="44">
        <f t="shared" si="8"/>
        <v>-200000000</v>
      </c>
      <c r="Y30" s="44">
        <f t="shared" si="8"/>
        <v>-200000000</v>
      </c>
      <c r="Z30" s="44">
        <f t="shared" si="8"/>
        <v>-200000000</v>
      </c>
      <c r="AA30" s="45">
        <f t="shared" si="3"/>
        <v>-4800000000</v>
      </c>
    </row>
    <row r="32" spans="2:27" x14ac:dyDescent="0.25">
      <c r="B32" s="11" t="s">
        <v>126</v>
      </c>
      <c r="C32" s="38">
        <f>C30-$C$15</f>
        <v>-700000000</v>
      </c>
      <c r="D32" s="38">
        <f t="shared" ref="D32:Z32" si="9">D30</f>
        <v>-200000000</v>
      </c>
      <c r="E32" s="38">
        <f t="shared" si="9"/>
        <v>-200000000</v>
      </c>
      <c r="F32" s="38">
        <f t="shared" si="9"/>
        <v>-200000000</v>
      </c>
      <c r="G32" s="38">
        <f t="shared" si="9"/>
        <v>-200000000</v>
      </c>
      <c r="H32" s="38">
        <f t="shared" si="9"/>
        <v>-200000000</v>
      </c>
      <c r="I32" s="38">
        <f t="shared" si="9"/>
        <v>-200000000</v>
      </c>
      <c r="J32" s="38">
        <f t="shared" si="9"/>
        <v>-200000000</v>
      </c>
      <c r="K32" s="38">
        <f t="shared" si="9"/>
        <v>-200000000</v>
      </c>
      <c r="L32" s="38">
        <f t="shared" si="9"/>
        <v>-200000000</v>
      </c>
      <c r="M32" s="38">
        <f t="shared" si="9"/>
        <v>-200000000</v>
      </c>
      <c r="N32" s="38">
        <f t="shared" si="9"/>
        <v>-200000000</v>
      </c>
      <c r="O32" s="38">
        <f t="shared" si="9"/>
        <v>-200000000</v>
      </c>
      <c r="P32" s="38">
        <f t="shared" si="9"/>
        <v>-200000000</v>
      </c>
      <c r="Q32" s="38">
        <f t="shared" si="9"/>
        <v>-200000000</v>
      </c>
      <c r="R32" s="38">
        <f t="shared" si="9"/>
        <v>-200000000</v>
      </c>
      <c r="S32" s="38">
        <f t="shared" si="9"/>
        <v>-200000000</v>
      </c>
      <c r="T32" s="38">
        <f t="shared" si="9"/>
        <v>-200000000</v>
      </c>
      <c r="U32" s="38">
        <f t="shared" si="9"/>
        <v>-200000000</v>
      </c>
      <c r="V32" s="38">
        <f t="shared" si="9"/>
        <v>-200000000</v>
      </c>
      <c r="W32" s="38">
        <f t="shared" si="9"/>
        <v>-200000000</v>
      </c>
      <c r="X32" s="38">
        <f t="shared" si="9"/>
        <v>-200000000</v>
      </c>
      <c r="Y32" s="38">
        <f t="shared" si="9"/>
        <v>-200000000</v>
      </c>
      <c r="Z32" s="38">
        <f t="shared" si="9"/>
        <v>-200000000</v>
      </c>
      <c r="AA32" s="39">
        <f>SUM(C32:Z32)</f>
        <v>-5300000000</v>
      </c>
    </row>
    <row r="33" spans="2:26" x14ac:dyDescent="0.25">
      <c r="B33" s="46" t="s">
        <v>127</v>
      </c>
      <c r="C33" s="47">
        <f>$C$16+C32</f>
        <v>2300000000</v>
      </c>
      <c r="D33" s="47">
        <f t="shared" ref="D33:Z33" si="10">C33+D32</f>
        <v>2100000000</v>
      </c>
      <c r="E33" s="47">
        <f t="shared" si="10"/>
        <v>1900000000</v>
      </c>
      <c r="F33" s="47">
        <f t="shared" si="10"/>
        <v>1700000000</v>
      </c>
      <c r="G33" s="47">
        <f t="shared" si="10"/>
        <v>1500000000</v>
      </c>
      <c r="H33" s="47">
        <f t="shared" si="10"/>
        <v>1300000000</v>
      </c>
      <c r="I33" s="47">
        <f t="shared" si="10"/>
        <v>1100000000</v>
      </c>
      <c r="J33" s="47">
        <f t="shared" si="10"/>
        <v>900000000</v>
      </c>
      <c r="K33" s="47">
        <f t="shared" si="10"/>
        <v>700000000</v>
      </c>
      <c r="L33" s="47">
        <f t="shared" si="10"/>
        <v>500000000</v>
      </c>
      <c r="M33" s="47">
        <f t="shared" si="10"/>
        <v>300000000</v>
      </c>
      <c r="N33" s="47">
        <f t="shared" si="10"/>
        <v>100000000</v>
      </c>
      <c r="O33" s="47">
        <f t="shared" si="10"/>
        <v>-100000000</v>
      </c>
      <c r="P33" s="47">
        <f t="shared" si="10"/>
        <v>-300000000</v>
      </c>
      <c r="Q33" s="47">
        <f t="shared" si="10"/>
        <v>-500000000</v>
      </c>
      <c r="R33" s="47">
        <f t="shared" si="10"/>
        <v>-700000000</v>
      </c>
      <c r="S33" s="47">
        <f t="shared" si="10"/>
        <v>-900000000</v>
      </c>
      <c r="T33" s="47">
        <f t="shared" si="10"/>
        <v>-1100000000</v>
      </c>
      <c r="U33" s="47">
        <f t="shared" si="10"/>
        <v>-1300000000</v>
      </c>
      <c r="V33" s="47">
        <f t="shared" si="10"/>
        <v>-1500000000</v>
      </c>
      <c r="W33" s="47">
        <f t="shared" si="10"/>
        <v>-1700000000</v>
      </c>
      <c r="X33" s="47">
        <f t="shared" si="10"/>
        <v>-1900000000</v>
      </c>
      <c r="Y33" s="47">
        <f t="shared" si="10"/>
        <v>-2100000000</v>
      </c>
      <c r="Z33" s="47">
        <f t="shared" si="10"/>
        <v>-2300000000</v>
      </c>
    </row>
    <row r="36" spans="2:26" x14ac:dyDescent="0.25">
      <c r="B36" s="3" t="s">
        <v>128</v>
      </c>
      <c r="C36" s="3"/>
      <c r="D36" s="3"/>
      <c r="E36" s="3"/>
      <c r="F36" s="3"/>
      <c r="G36" s="3"/>
      <c r="H36" s="3"/>
      <c r="I36" s="3"/>
      <c r="J36" s="3"/>
    </row>
    <row r="37" spans="2:26" x14ac:dyDescent="0.25">
      <c r="B37" s="10" t="s">
        <v>129</v>
      </c>
      <c r="C37" s="48">
        <f>(NPV($C$17,D32:Z32)+C32)/1000000</f>
        <v>-4552.8305577231959</v>
      </c>
      <c r="D37" s="30" t="str">
        <f>"(target: &gt; 0)"</f>
        <v>(target: &gt; 0)</v>
      </c>
    </row>
    <row r="38" spans="2:26" x14ac:dyDescent="0.25">
      <c r="B38" s="10" t="s">
        <v>130</v>
      </c>
      <c r="C38" s="49">
        <f>IFERROR((1+IRR(C32:Z32))^12-1,0)</f>
        <v>0</v>
      </c>
      <c r="D38" s="30" t="str">
        <f>"(target: &gt; "&amp;TEXT(CHOOSE($C$6,'1. Assumptions'!C35,'1. Assumptions'!D35,'1. Assumptions'!E35),"0.0%")&amp;")"</f>
        <v>(target: &gt; 20.0%)</v>
      </c>
    </row>
    <row r="39" spans="2:26" x14ac:dyDescent="0.25">
      <c r="B39" s="10" t="s">
        <v>131</v>
      </c>
      <c r="C39" s="50" t="str">
        <f>IFERROR(MATCH(TRUE(),INDEX(C41:Z41&gt;=0,0),0),"&gt; 24")</f>
        <v>&gt; 24</v>
      </c>
      <c r="D39" s="30" t="str">
        <f>"(target: &lt; 24)"</f>
        <v>(target: &lt; 24)</v>
      </c>
    </row>
    <row r="40" spans="2:26" x14ac:dyDescent="0.25">
      <c r="B40" s="10" t="s">
        <v>132</v>
      </c>
      <c r="C40" s="51">
        <f>IFERROR(MATCH(TRUE(),INDEX(C33:Z33&lt;0,0),0)-1,"&gt;= 24")</f>
        <v>12</v>
      </c>
      <c r="D40" s="30" t="str">
        <f>"(target: &gt;= 12)"</f>
        <v>(target: &gt;= 12)</v>
      </c>
    </row>
    <row r="41" spans="2:26" x14ac:dyDescent="0.25">
      <c r="B41" s="52" t="s">
        <v>133</v>
      </c>
      <c r="C41" s="53">
        <f>C32</f>
        <v>-700000000</v>
      </c>
      <c r="D41" s="53">
        <f t="shared" ref="D41:Z41" si="11">C41+D32</f>
        <v>-900000000</v>
      </c>
      <c r="E41" s="53">
        <f t="shared" si="11"/>
        <v>-1100000000</v>
      </c>
      <c r="F41" s="53">
        <f t="shared" si="11"/>
        <v>-1300000000</v>
      </c>
      <c r="G41" s="53">
        <f t="shared" si="11"/>
        <v>-1500000000</v>
      </c>
      <c r="H41" s="53">
        <f t="shared" si="11"/>
        <v>-1700000000</v>
      </c>
      <c r="I41" s="53">
        <f t="shared" si="11"/>
        <v>-1900000000</v>
      </c>
      <c r="J41" s="53">
        <f t="shared" si="11"/>
        <v>-2100000000</v>
      </c>
      <c r="K41" s="53">
        <f t="shared" si="11"/>
        <v>-2300000000</v>
      </c>
      <c r="L41" s="53">
        <f t="shared" si="11"/>
        <v>-2500000000</v>
      </c>
      <c r="M41" s="53">
        <f t="shared" si="11"/>
        <v>-2700000000</v>
      </c>
      <c r="N41" s="53">
        <f t="shared" si="11"/>
        <v>-2900000000</v>
      </c>
      <c r="O41" s="53">
        <f t="shared" si="11"/>
        <v>-3100000000</v>
      </c>
      <c r="P41" s="53">
        <f t="shared" si="11"/>
        <v>-3300000000</v>
      </c>
      <c r="Q41" s="53">
        <f t="shared" si="11"/>
        <v>-3500000000</v>
      </c>
      <c r="R41" s="53">
        <f t="shared" si="11"/>
        <v>-3700000000</v>
      </c>
      <c r="S41" s="53">
        <f t="shared" si="11"/>
        <v>-3900000000</v>
      </c>
      <c r="T41" s="53">
        <f t="shared" si="11"/>
        <v>-4100000000</v>
      </c>
      <c r="U41" s="53">
        <f t="shared" si="11"/>
        <v>-4300000000</v>
      </c>
      <c r="V41" s="53">
        <f t="shared" si="11"/>
        <v>-4500000000</v>
      </c>
      <c r="W41" s="53">
        <f t="shared" si="11"/>
        <v>-4700000000</v>
      </c>
      <c r="X41" s="53">
        <f t="shared" si="11"/>
        <v>-4900000000</v>
      </c>
      <c r="Y41" s="53">
        <f t="shared" si="11"/>
        <v>-5100000000</v>
      </c>
      <c r="Z41" s="53">
        <f t="shared" si="11"/>
        <v>-5300000000</v>
      </c>
    </row>
    <row r="43" spans="2:26" x14ac:dyDescent="0.25">
      <c r="B43" s="3" t="s">
        <v>134</v>
      </c>
      <c r="C43" s="3"/>
      <c r="D43" s="3"/>
      <c r="E43" s="3"/>
      <c r="F43" s="3"/>
      <c r="G43" s="3"/>
      <c r="H43" s="3"/>
      <c r="I43" s="3"/>
      <c r="J43" s="3"/>
    </row>
    <row r="44" spans="2:26" ht="15.75" x14ac:dyDescent="0.25">
      <c r="B44" s="10" t="s">
        <v>135</v>
      </c>
      <c r="C44" s="1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  <c r="D44" s="1"/>
      <c r="E44" s="1"/>
      <c r="F44" s="1"/>
      <c r="G44" s="1"/>
      <c r="H44" s="1"/>
      <c r="I44" s="1"/>
      <c r="J44" s="1"/>
    </row>
  </sheetData>
  <mergeCells count="6">
    <mergeCell ref="C44:J44"/>
    <mergeCell ref="B2:H2"/>
    <mergeCell ref="D4:H4"/>
    <mergeCell ref="B20:AA20"/>
    <mergeCell ref="B36:J36"/>
    <mergeCell ref="B43:J43"/>
  </mergeCells>
  <conditionalFormatting sqref="C33">
    <cfRule type="cellIs" dxfId="28" priority="2" operator="lessThan">
      <formula>0</formula>
    </cfRule>
  </conditionalFormatting>
  <conditionalFormatting sqref="D33">
    <cfRule type="cellIs" dxfId="27" priority="3" operator="lessThan">
      <formula>0</formula>
    </cfRule>
  </conditionalFormatting>
  <conditionalFormatting sqref="E33">
    <cfRule type="cellIs" dxfId="26" priority="4" operator="lessThan">
      <formula>0</formula>
    </cfRule>
  </conditionalFormatting>
  <conditionalFormatting sqref="F33">
    <cfRule type="cellIs" dxfId="25" priority="5" operator="lessThan">
      <formula>0</formula>
    </cfRule>
  </conditionalFormatting>
  <conditionalFormatting sqref="G33">
    <cfRule type="cellIs" dxfId="24" priority="6" operator="lessThan">
      <formula>0</formula>
    </cfRule>
  </conditionalFormatting>
  <conditionalFormatting sqref="H33">
    <cfRule type="cellIs" dxfId="23" priority="7" operator="lessThan">
      <formula>0</formula>
    </cfRule>
  </conditionalFormatting>
  <conditionalFormatting sqref="I33">
    <cfRule type="cellIs" dxfId="22" priority="8" operator="lessThan">
      <formula>0</formula>
    </cfRule>
  </conditionalFormatting>
  <conditionalFormatting sqref="J33">
    <cfRule type="cellIs" dxfId="21" priority="9" operator="lessThan">
      <formula>0</formula>
    </cfRule>
  </conditionalFormatting>
  <conditionalFormatting sqref="K33">
    <cfRule type="cellIs" dxfId="20" priority="10" operator="lessThan">
      <formula>0</formula>
    </cfRule>
  </conditionalFormatting>
  <conditionalFormatting sqref="L33">
    <cfRule type="cellIs" dxfId="19" priority="11" operator="lessThan">
      <formula>0</formula>
    </cfRule>
  </conditionalFormatting>
  <conditionalFormatting sqref="M33">
    <cfRule type="cellIs" dxfId="18" priority="12" operator="lessThan">
      <formula>0</formula>
    </cfRule>
  </conditionalFormatting>
  <conditionalFormatting sqref="N33">
    <cfRule type="cellIs" dxfId="17" priority="13" operator="lessThan">
      <formula>0</formula>
    </cfRule>
  </conditionalFormatting>
  <conditionalFormatting sqref="O33">
    <cfRule type="cellIs" dxfId="16" priority="14" operator="lessThan">
      <formula>0</formula>
    </cfRule>
  </conditionalFormatting>
  <conditionalFormatting sqref="P33">
    <cfRule type="cellIs" dxfId="15" priority="15" operator="lessThan">
      <formula>0</formula>
    </cfRule>
  </conditionalFormatting>
  <conditionalFormatting sqref="Q33">
    <cfRule type="cellIs" dxfId="14" priority="16" operator="lessThan">
      <formula>0</formula>
    </cfRule>
  </conditionalFormatting>
  <conditionalFormatting sqref="R33">
    <cfRule type="cellIs" dxfId="13" priority="17" operator="lessThan">
      <formula>0</formula>
    </cfRule>
  </conditionalFormatting>
  <conditionalFormatting sqref="S33">
    <cfRule type="cellIs" dxfId="12" priority="18" operator="lessThan">
      <formula>0</formula>
    </cfRule>
  </conditionalFormatting>
  <conditionalFormatting sqref="T33">
    <cfRule type="cellIs" dxfId="11" priority="19" operator="lessThan">
      <formula>0</formula>
    </cfRule>
  </conditionalFormatting>
  <conditionalFormatting sqref="U33">
    <cfRule type="cellIs" dxfId="10" priority="20" operator="lessThan">
      <formula>0</formula>
    </cfRule>
  </conditionalFormatting>
  <conditionalFormatting sqref="V33">
    <cfRule type="cellIs" dxfId="9" priority="21" operator="lessThan">
      <formula>0</formula>
    </cfRule>
  </conditionalFormatting>
  <conditionalFormatting sqref="W33">
    <cfRule type="cellIs" dxfId="8" priority="22" operator="lessThan">
      <formula>0</formula>
    </cfRule>
  </conditionalFormatting>
  <conditionalFormatting sqref="X33">
    <cfRule type="cellIs" dxfId="7" priority="23" operator="lessThan">
      <formula>0</formula>
    </cfRule>
  </conditionalFormatting>
  <conditionalFormatting sqref="Y33">
    <cfRule type="cellIs" dxfId="6" priority="24" operator="lessThan">
      <formula>0</formula>
    </cfRule>
  </conditionalFormatting>
  <conditionalFormatting sqref="Z33">
    <cfRule type="cellIs" dxfId="5" priority="25" operator="lessThan">
      <formula>0</formula>
    </cfRule>
  </conditionalFormatting>
  <conditionalFormatting sqref="C37">
    <cfRule type="cellIs" dxfId="4" priority="26" operator="greaterThan">
      <formula>0</formula>
    </cfRule>
    <cfRule type="cellIs" dxfId="3" priority="27" operator="lessThanOrEqual">
      <formula>0</formula>
    </cfRule>
  </conditionalFormatting>
  <conditionalFormatting sqref="C40">
    <cfRule type="expression" dxfId="0" priority="30">
      <formula>AND(ISNUMBER(C40),C40&lt;12)</formula>
    </cfRule>
  </conditionalFormatting>
  <dataValidations count="1">
    <dataValidation type="list" sqref="C4" xr:uid="{00000000-0002-0000-0200-000000000000}">
      <formula1>"Optimistic,Base,Pessimistic"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00000000-000E-0000-0200-00001C000000}">
            <xm:f>C38&gt;CHOOSE($C$6,'1. Assumptions'!C35,'1. Assumptions'!D35,'1. Assumptions'!E35)</xm:f>
            <x14:dxf>
              <font>
                <b/>
                <sz val="11"/>
                <color rgb="FF16A34A"/>
                <name val="Arial"/>
                <charset val="1"/>
              </font>
              <fill>
                <patternFill>
                  <bgColor rgb="FFDCFCE7"/>
                </patternFill>
              </fill>
            </x14:dxf>
          </x14:cfRule>
          <x14:cfRule type="expression" priority="29" id="{00000000-000E-0000-0200-00001D000000}">
            <xm:f>C38&lt;=CHOOSE($C$6,'1. Assumptions'!C35,'1. Assumptions'!D35,'1. Assumptions'!E35)</xm:f>
            <x14:dxf>
              <font>
                <b/>
                <sz val="11"/>
                <color rgb="FFDC2626"/>
                <name val="Arial"/>
                <charset val="1"/>
              </font>
              <fill>
                <patternFill>
                  <bgColor rgb="FFFEE2E2"/>
                </patternFill>
              </fill>
            </x14:dxf>
          </x14:cfRule>
          <xm:sqref>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1. Assumptions</vt:lpstr>
      <vt:lpstr>2. Unit Economics</vt:lpstr>
      <vt:lpstr>3. P&amp;L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2026-05-03T14:07:25Z</dcterms:created>
  <dcterms:modified xsi:type="dcterms:W3CDTF">2026-05-04T05:40:06Z</dcterms:modified>
  <dc:language>en-US</dc:language>
</cp:coreProperties>
</file>