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3"/>
  <workbookPr/>
  <mc:AlternateContent xmlns:mc="http://schemas.openxmlformats.org/markup-compatibility/2006">
    <mc:Choice Requires="x15">
      <x15ac:absPath xmlns:x15ac="http://schemas.microsoft.com/office/spreadsheetml/2010/11/ac" url="D:\ChuongTrinhHocTheoTungNgay\Day18-4May\"/>
    </mc:Choice>
  </mc:AlternateContent>
  <xr:revisionPtr revIDLastSave="0" documentId="13_ncr:1_{A8DF89E0-D750-4F59-9C41-851456235D60}" xr6:coauthVersionLast="36" xr6:coauthVersionMax="36" xr10:uidLastSave="{00000000-0000-0000-0000-000000000000}"/>
  <bookViews>
    <workbookView xWindow="0" yWindow="600" windowWidth="20490" windowHeight="7530" tabRatio="500" activeTab="1" xr2:uid="{00000000-000D-0000-FFFF-FFFF00000000}"/>
  </bookViews>
  <sheets>
    <sheet name="TrustLayerAI" sheetId="4" r:id="rId1"/>
    <sheet name="1. Assumptions" sheetId="1" r:id="rId2"/>
    <sheet name="2. Unit Economics" sheetId="2" r:id="rId3"/>
    <sheet name="3. P&amp;L &amp; ROI" sheetId="3" r:id="rId4"/>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40" i="3" l="1"/>
  <c r="D39" i="3"/>
  <c r="D37" i="3"/>
  <c r="C6" i="3"/>
  <c r="C10" i="3" s="1"/>
  <c r="E18" i="2"/>
  <c r="D18" i="2"/>
  <c r="D21" i="2" s="1"/>
  <c r="C18" i="2"/>
  <c r="E14" i="2"/>
  <c r="E8" i="2"/>
  <c r="D8" i="2"/>
  <c r="C8" i="2"/>
  <c r="E36" i="1"/>
  <c r="D36" i="1"/>
  <c r="C36" i="1"/>
  <c r="E28" i="1"/>
  <c r="D28" i="1"/>
  <c r="C28" i="1"/>
  <c r="E19" i="1"/>
  <c r="D19" i="1"/>
  <c r="D14" i="2" s="1"/>
  <c r="C19" i="1"/>
  <c r="C14" i="2" s="1"/>
  <c r="E15" i="1"/>
  <c r="E9" i="2" s="1"/>
  <c r="D15" i="1"/>
  <c r="D9" i="2" s="1"/>
  <c r="C15" i="1"/>
  <c r="C9" i="2" s="1"/>
  <c r="C10" i="2" l="1"/>
  <c r="C11" i="2" s="1"/>
  <c r="E10" i="2"/>
  <c r="E15" i="2" s="1"/>
  <c r="E21" i="2" s="1"/>
  <c r="D10" i="2"/>
  <c r="M22" i="3"/>
  <c r="C14" i="3"/>
  <c r="C8" i="3"/>
  <c r="C16" i="3"/>
  <c r="C9" i="3"/>
  <c r="S22" i="3" s="1"/>
  <c r="C11" i="3"/>
  <c r="C13" i="3"/>
  <c r="D38" i="3"/>
  <c r="C15" i="3"/>
  <c r="C17" i="3"/>
  <c r="C12" i="3"/>
  <c r="E22" i="2" l="1"/>
  <c r="E25" i="2" s="1"/>
  <c r="E11" i="2"/>
  <c r="C15" i="2"/>
  <c r="C21" i="2" s="1"/>
  <c r="C22" i="2"/>
  <c r="D22" i="2"/>
  <c r="D11" i="2"/>
  <c r="N22" i="3"/>
  <c r="O22" i="3"/>
  <c r="Z22" i="3"/>
  <c r="Q22" i="3"/>
  <c r="D22" i="3"/>
  <c r="G22" i="3"/>
  <c r="G28" i="3" s="1"/>
  <c r="V22" i="3"/>
  <c r="V28" i="3" s="1"/>
  <c r="L22" i="3"/>
  <c r="L28" i="3" s="1"/>
  <c r="W22" i="3"/>
  <c r="H22" i="3"/>
  <c r="X22" i="3"/>
  <c r="X28" i="3"/>
  <c r="N28" i="3"/>
  <c r="S28" i="3"/>
  <c r="O28" i="3"/>
  <c r="Q28" i="3"/>
  <c r="W28" i="3"/>
  <c r="D15" i="2"/>
  <c r="Z28" i="3"/>
  <c r="H28" i="3"/>
  <c r="M28" i="3"/>
  <c r="D28" i="3"/>
  <c r="T22" i="3"/>
  <c r="T28" i="3" s="1"/>
  <c r="E22" i="3"/>
  <c r="E28" i="3" s="1"/>
  <c r="Y22" i="3"/>
  <c r="Y28" i="3" s="1"/>
  <c r="C22" i="3"/>
  <c r="U22" i="3"/>
  <c r="U28" i="3" s="1"/>
  <c r="J22" i="3"/>
  <c r="J28" i="3" s="1"/>
  <c r="K22" i="3"/>
  <c r="K28" i="3" s="1"/>
  <c r="P22" i="3"/>
  <c r="P28" i="3" s="1"/>
  <c r="I22" i="3"/>
  <c r="I28" i="3" s="1"/>
  <c r="V29" i="3"/>
  <c r="N29" i="3"/>
  <c r="F29" i="3"/>
  <c r="D29" i="3"/>
  <c r="Z29" i="3"/>
  <c r="J29" i="3"/>
  <c r="H29" i="3"/>
  <c r="U29" i="3"/>
  <c r="M29" i="3"/>
  <c r="E29" i="3"/>
  <c r="K29" i="3"/>
  <c r="S29" i="3"/>
  <c r="C29" i="3"/>
  <c r="Y29" i="3"/>
  <c r="Q29" i="3"/>
  <c r="I29" i="3"/>
  <c r="X29" i="3"/>
  <c r="W29" i="3"/>
  <c r="O29" i="3"/>
  <c r="G29" i="3"/>
  <c r="T29" i="3"/>
  <c r="L29" i="3"/>
  <c r="R29" i="3"/>
  <c r="P29" i="3"/>
  <c r="F22" i="3"/>
  <c r="F28" i="3" s="1"/>
  <c r="R22" i="3"/>
  <c r="R28" i="3" s="1"/>
  <c r="C25" i="2" l="1"/>
  <c r="AA29" i="3"/>
  <c r="D25" i="2"/>
  <c r="AA22" i="3"/>
  <c r="C28" i="3"/>
  <c r="AA28" i="3" s="1"/>
  <c r="C23" i="3"/>
  <c r="C25" i="3" l="1"/>
  <c r="C26" i="3"/>
  <c r="D23" i="3"/>
  <c r="D26" i="3" l="1"/>
  <c r="E23" i="3"/>
  <c r="D25" i="3"/>
  <c r="C27" i="3"/>
  <c r="D27" i="3" l="1"/>
  <c r="D30" i="3" s="1"/>
  <c r="D32" i="3" s="1"/>
  <c r="C30" i="3"/>
  <c r="E26" i="3"/>
  <c r="F23" i="3"/>
  <c r="E25" i="3"/>
  <c r="E27" i="3" l="1"/>
  <c r="F25" i="3"/>
  <c r="G23" i="3"/>
  <c r="F26" i="3"/>
  <c r="C32" i="3"/>
  <c r="C41" i="3" l="1"/>
  <c r="C33" i="3"/>
  <c r="G26" i="3"/>
  <c r="G25" i="3"/>
  <c r="H23" i="3"/>
  <c r="F27" i="3"/>
  <c r="F30" i="3" s="1"/>
  <c r="F32" i="3" s="1"/>
  <c r="E30" i="3"/>
  <c r="G27" i="3" l="1"/>
  <c r="G30" i="3" s="1"/>
  <c r="G32" i="3" s="1"/>
  <c r="H25" i="3"/>
  <c r="H26" i="3"/>
  <c r="I23" i="3"/>
  <c r="D41" i="3"/>
  <c r="D33" i="3"/>
  <c r="E32" i="3"/>
  <c r="H27" i="3" l="1"/>
  <c r="H30" i="3" s="1"/>
  <c r="H32" i="3" s="1"/>
  <c r="E33" i="3"/>
  <c r="F33" i="3" s="1"/>
  <c r="G33" i="3" s="1"/>
  <c r="E41" i="3"/>
  <c r="I26" i="3"/>
  <c r="J23" i="3"/>
  <c r="I25" i="3"/>
  <c r="I27" i="3" l="1"/>
  <c r="I30" i="3" s="1"/>
  <c r="H33" i="3"/>
  <c r="F41" i="3"/>
  <c r="G41" i="3" s="1"/>
  <c r="H41" i="3" s="1"/>
  <c r="J25" i="3"/>
  <c r="J26" i="3"/>
  <c r="K23" i="3"/>
  <c r="L23" i="3" l="1"/>
  <c r="K26" i="3"/>
  <c r="K25" i="3"/>
  <c r="J27" i="3"/>
  <c r="I32" i="3"/>
  <c r="I41" i="3" s="1"/>
  <c r="K27" i="3" l="1"/>
  <c r="K30" i="3" s="1"/>
  <c r="K32" i="3" s="1"/>
  <c r="I33" i="3"/>
  <c r="J30" i="3"/>
  <c r="L26" i="3"/>
  <c r="M23" i="3"/>
  <c r="L25" i="3"/>
  <c r="J32" i="3" l="1"/>
  <c r="J33" i="3" s="1"/>
  <c r="M26" i="3"/>
  <c r="M25" i="3"/>
  <c r="N23" i="3"/>
  <c r="L27" i="3"/>
  <c r="L30" i="3" s="1"/>
  <c r="L32" i="3" s="1"/>
  <c r="M27" i="3" l="1"/>
  <c r="M30" i="3" s="1"/>
  <c r="M32" i="3" s="1"/>
  <c r="K33" i="3"/>
  <c r="L33" i="3" s="1"/>
  <c r="N26" i="3"/>
  <c r="O23" i="3"/>
  <c r="N25" i="3"/>
  <c r="J41" i="3"/>
  <c r="N27" i="3" l="1"/>
  <c r="N30" i="3" s="1"/>
  <c r="N32" i="3" s="1"/>
  <c r="M33" i="3"/>
  <c r="K41" i="3"/>
  <c r="L41" i="3" s="1"/>
  <c r="M41" i="3" s="1"/>
  <c r="O25" i="3"/>
  <c r="O26" i="3"/>
  <c r="P23" i="3"/>
  <c r="N33" i="3" l="1"/>
  <c r="N41" i="3"/>
  <c r="P26" i="3"/>
  <c r="Q23" i="3"/>
  <c r="P25" i="3"/>
  <c r="O27" i="3"/>
  <c r="O30" i="3" s="1"/>
  <c r="O32" i="3" s="1"/>
  <c r="P27" i="3" l="1"/>
  <c r="P30" i="3" s="1"/>
  <c r="P32" i="3" s="1"/>
  <c r="Q26" i="3"/>
  <c r="R23" i="3"/>
  <c r="Q25" i="3"/>
  <c r="O33" i="3"/>
  <c r="O41" i="3"/>
  <c r="P41" i="3" l="1"/>
  <c r="Q27" i="3"/>
  <c r="Q30" i="3" s="1"/>
  <c r="Q32" i="3" s="1"/>
  <c r="P33" i="3"/>
  <c r="R25" i="3"/>
  <c r="R26" i="3"/>
  <c r="S23" i="3"/>
  <c r="Q41" i="3" l="1"/>
  <c r="Q33" i="3"/>
  <c r="S26" i="3"/>
  <c r="T23" i="3"/>
  <c r="S25" i="3"/>
  <c r="R27" i="3"/>
  <c r="R30" i="3" s="1"/>
  <c r="R32" i="3" s="1"/>
  <c r="R41" i="3" l="1"/>
  <c r="R33" i="3"/>
  <c r="S27" i="3"/>
  <c r="S30" i="3" s="1"/>
  <c r="S32" i="3" s="1"/>
  <c r="T25" i="3"/>
  <c r="T26" i="3"/>
  <c r="U23" i="3"/>
  <c r="S33" i="3" l="1"/>
  <c r="U26" i="3"/>
  <c r="V23" i="3"/>
  <c r="U25" i="3"/>
  <c r="T27" i="3"/>
  <c r="T30" i="3" s="1"/>
  <c r="T32" i="3" s="1"/>
  <c r="S41" i="3"/>
  <c r="T33" i="3" l="1"/>
  <c r="U27" i="3"/>
  <c r="U30" i="3" s="1"/>
  <c r="U32" i="3" s="1"/>
  <c r="T41" i="3"/>
  <c r="V25" i="3"/>
  <c r="V26" i="3"/>
  <c r="W23" i="3"/>
  <c r="U33" i="3" l="1"/>
  <c r="U41" i="3"/>
  <c r="V27" i="3"/>
  <c r="V30" i="3" s="1"/>
  <c r="V32" i="3" s="1"/>
  <c r="W25" i="3"/>
  <c r="W26" i="3"/>
  <c r="X23" i="3"/>
  <c r="V33" i="3" l="1"/>
  <c r="V41" i="3"/>
  <c r="X26" i="3"/>
  <c r="Y23" i="3"/>
  <c r="X25" i="3"/>
  <c r="W27" i="3"/>
  <c r="W30" i="3" s="1"/>
  <c r="W32" i="3" s="1"/>
  <c r="X27" i="3" l="1"/>
  <c r="X30" i="3" s="1"/>
  <c r="X32" i="3" s="1"/>
  <c r="W41" i="3"/>
  <c r="Y26" i="3"/>
  <c r="Z23" i="3"/>
  <c r="Y25" i="3"/>
  <c r="W33" i="3"/>
  <c r="X41" i="3" l="1"/>
  <c r="Y27" i="3"/>
  <c r="Y30" i="3" s="1"/>
  <c r="Y32" i="3" s="1"/>
  <c r="X33" i="3"/>
  <c r="Z25" i="3"/>
  <c r="Z26" i="3"/>
  <c r="AA26" i="3" s="1"/>
  <c r="Y41" i="3" l="1"/>
  <c r="Y33" i="3"/>
  <c r="Z27" i="3"/>
  <c r="AA25" i="3"/>
  <c r="Z30" i="3" l="1"/>
  <c r="AA27" i="3"/>
  <c r="Z32" i="3" l="1"/>
  <c r="AA30" i="3"/>
  <c r="C37" i="3" l="1"/>
  <c r="C38" i="3"/>
  <c r="AA32" i="3"/>
  <c r="Z41" i="3"/>
  <c r="C39" i="3" s="1"/>
  <c r="Z33" i="3"/>
  <c r="C40" i="3" s="1"/>
  <c r="C44" i="3" l="1"/>
</calcChain>
</file>

<file path=xl/sharedStrings.xml><?xml version="1.0" encoding="utf-8"?>
<sst xmlns="http://schemas.openxmlformats.org/spreadsheetml/2006/main" count="174" uniqueCount="158">
  <si>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</si>
  <si>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</si>
  <si>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</si>
  <si>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</si>
  <si>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</si>
  <si>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</si>
  <si>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</si>
  <si>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</si>
  <si>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</si>
  <si>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</si>
  <si>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</si>
  <si>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</si>
  <si>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</si>
  <si>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</si>
  <si>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</si>
  <si>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</si>
  <si>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</si>
  <si>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</si>
  <si>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</si>
  <si>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</si>
  <si>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</si>
  <si>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</si>
  <si>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</si>
  <si>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</si>
  <si>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</si>
  <si>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</si>
  <si>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</si>
  <si>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</si>
  <si>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</si>
  <si>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</si>
  <si>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</si>
  <si>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</si>
  <si>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</si>
  <si>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</si>
  <si>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</si>
  <si>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</si>
  <si>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</si>
  <si>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</si>
  <si>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</si>
  <si>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</si>
  <si>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</si>
  <si>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</si>
  <si>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</si>
  <si>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</si>
  <si>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</si>
  <si>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</si>
  <si>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</si>
  <si>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</si>
  <si>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</si>
  <si>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</si>
  <si>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</si>
  <si>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</si>
  <si>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</si>
  <si>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</si>
  <si>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</si>
  <si>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</si>
  <si>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</si>
  <si>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</si>
  <si>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</si>
  <si>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</si>
  <si>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</si>
  <si>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</si>
  <si>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</si>
  <si>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</si>
  <si>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</si>
  <si>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</si>
  <si>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</si>
  <si>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</si>
  <si>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</si>
  <si>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</si>
  <si>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</si>
  <si>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</si>
  <si>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</si>
  <si>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</si>
  <si>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</si>
  <si>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</si>
  <si>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</si>
  <si>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</si>
  <si>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</si>
  <si>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</si>
  <si>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</si>
  <si>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</si>
  <si>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</si>
  <si>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</si>
  <si>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</si>
  <si>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</si>
  <si>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</si>
  <si>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</si>
  <si>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</si>
  <si>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</si>
  <si>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</si>
  <si>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</si>
  <si>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</si>
  <si>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</si>
  <si>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</si>
  <si>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</si>
  <si>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</si>
  <si>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</si>
  <si>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</si>
  <si>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</si>
  <si>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</si>
  <si>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</si>
  <si>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</si>
  <si>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</si>
  <si>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</si>
  <si>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</si>
  <si>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</si>
  <si>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</si>
  <si>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</si>
  <si>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</si>
  <si>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</si>
  <si>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</si>
  <si>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</si>
  <si>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</si>
  <si>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</si>
  <si>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</si>
  <si>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</si>
  <si>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</si>
  <si>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</si>
  <si>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</si>
  <si>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</si>
  <si>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</si>
  <si>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</si>
  <si>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</si>
  <si>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</si>
  <si>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</si>
  <si>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</si>
  <si>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</si>
  <si>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</si>
  <si>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</si>
  <si>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</si>
  <si>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</si>
  <si>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</si>
  <si>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</si>
  <si>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</si>
  <si>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</si>
  <si>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Willing to pay của khách hàng như thế nào? =&gt; Willing to pay của ARPU =?
Customers: B2B</t>
  </si>
  <si>
    <t>GPT-5 mini optimized: $5–15 / khách / tháng 
Bao nhiêu khách hàng / tháng: 2 khách hàng
Tần xuất sử dụng feature: 1 tuần / 1 lần (thường cuối tuần để review &amp; làm report)
Mỗi user trong 1 tháng, trung bình họ phát sinh bao nhiêu transaction, để xem họ trả mình bao nhiêu tiền ? 
Tính bao nhiêu token/ turn ( gồm cả input &amp; output )</t>
  </si>
  <si>
    <t>1000 requests/ tháng cho 100 sp AI =&gt; Usage × Token × Price</t>
  </si>
  <si>
    <t>Giả định token / request</t>
  </si>
  <si>
    <t>4. Tính cost (GPT-5 mini)</t>
  </si>
  <si>
    <t>Product: TrustLayerAI - Đánh giá RAG/Enterprise Search (chatbot nội bộ)</t>
  </si>
  <si>
    <t>Số lượng chatbot nội bộ: 1 chatbot</t>
  </si>
  <si>
    <t>Tần suất sử dụng trung bình: Khoảng 20 lần/tuần cho mỗi nhân viên.</t>
  </si>
  <si>
    <t xml:space="preserve">Ex: Vingroup Ecosystem - </t>
  </si>
  <si>
    <t xml:space="preserve">Nếu có 1.000 nhân viên, lượng request hàng tháng có thể đạt khoảng: </t>
  </si>
  <si>
    <t>1.000 nhân viên * 20 requests/ tuần * 4 tuần = 80.000 requests</t>
  </si>
  <si>
    <t>Tổng input tokens: 80.000 * 1000 = 80.000.000</t>
  </si>
  <si>
    <t>Tổng output tokens: 80.000 * 500 = 40.000.000</t>
  </si>
  <si>
    <t>Tổng tokens: 120.000.000</t>
  </si>
  <si>
    <t>Input: 1,000 tokens/request , đơn giá $0.25$/1M tokens</t>
  </si>
  <si>
    <t>Output: 500 tokens/request , đơn giá 2$ / 1M tokens</t>
  </si>
  <si>
    <t>Input Cost: 80.000 * 1000 *0,25/1M = 20$</t>
  </si>
  <si>
    <r>
      <t>Output Cost:</t>
    </r>
    <r>
      <rPr>
        <sz val="11"/>
        <color theme="1"/>
        <rFont val="Calibri"/>
        <family val="2"/>
        <charset val="1"/>
      </rPr>
      <t xml:space="preserve"> </t>
    </r>
    <r>
      <rPr>
        <b/>
        <sz val="11"/>
        <color theme="1"/>
        <rFont val="Arial"/>
        <family val="2"/>
      </rPr>
      <t>80.000 * 500 * 2/1M = 80$</t>
    </r>
  </si>
  <si>
    <r>
      <t>Tổng API Cost:</t>
    </r>
    <r>
      <rPr>
        <sz val="11"/>
        <color theme="1"/>
        <rFont val="Calibri"/>
        <family val="2"/>
        <charset val="1"/>
      </rPr>
      <t xml:space="preserve"> $</t>
    </r>
    <r>
      <rPr>
        <b/>
        <sz val="11"/>
        <color theme="1"/>
        <rFont val="Calibri"/>
        <family val="2"/>
        <charset val="1"/>
      </rPr>
      <t>100 / tháng = 2.550.000 vnd</t>
    </r>
  </si>
  <si>
    <t>2A202600405 - Nguyễn Thị Ngọc</t>
  </si>
  <si>
    <t>3. Logic bảo vệ những con số:
- ARPU được xác định dựa trên value-based pricing,  theo ngưỡng willingness to pay của khách hàng, tương đương khoảng 5–20% giá trị rủi ro mà hệ thống giúp giảm thiểu trong vận hành AI. Với quy mô sử dụng thực tế, mức giá 20.4 triệu/tháng phản ánh đúng giá trị mang lại thay vì chi phí API.
- CAC được điều chỉnh lên khoảng 50 triệu để phản ánh chu kỳ bán hàng enterprise (pre-sales, POC, integration), đồng thời giữ LTV/CAC ở mức hấp dẫn và thực tế khi mở rộng.
- Các giả định ban đầu cho thấy unit economics rất mạnh với biên lợi nhuận cao và thời gian hoàn vốn nhanh. Tuy nhiên, để phản ánh sát hơn thực tế triển khai enterprise, các tham số đã được điều chỉnh theo hướng thận trọng hơn, bao gồm tăng COGS, giảm churn và tăng CAC. Sau điều chỉnh, mô hình vẫn duy trì LTV/CAC ~8.6x và payback ~4 tháng, cho thấy hiệu quả kinh tế hấp dẫn nhưng đáng tin cậy khi mở rộng.</t>
  </si>
  <si>
    <t>Tại sao bạn chọn mức ARPU và CAC như trên? Logic gì để bảo vệ những con số này trước nhà đầu tư? Viết 2-3 câu…
1. Chọn mức ARPU = 20.400.000 vì dựa vào ngưỡng Willing to pay của khách hàng.
Ngưỡng Willing To Pay = 5%-30% * ( Expected Risk) 
Expected Risk=Volume×Critical Rate×Error Rate×Cost per Error
Volume = số AI requests
Critical Rate = % request quan trọng
Error Rate = % sai
Cost/Error = thiệt hại mỗi lỗi
WTP = 10% * (80,000 requests/ngày * 1% critical * 2% error * 500$) = 8000$ /thang = 204.000.000
2. Tunning
Ban đầu: 
- ARPU: 20.4M
- COGS: 0.4335M → Gross margin = 78.8% (vượt ngưỡng)
- Churn 5% → Lifetime ≈ 20 tháng
- LTV/ CAC Ratio 10.71x (  rất mạnh, nên được điều chỉnh để phản ánh thực tế)
- Payback period 1.9 tháng ( rất nhanh, nên được điều chỉnh để phản ánh thực tế)
Điều chỉnh:
- Điều chỉnh COGS ~ 7M -&gt; Gross margin = 63% ( bao gồm hạ tầng và vận hành)
- Điều chỉnh churn cho thực tế hơn vì 5%/tháng hơi cao so với enterprise. =&gt; 3%/tháng phản ánh mức gắn bó cao hơn của khách hàng enterprise
- Tăng CAC =50M bao gồm chi phí pre-sales, POC và triển khai =&gt;  LTV / CAC Ratio = 8.57% (rất mạnh, tối ưu, được điều chỉnh thực tế hơn)
- Playback period 3.9 tháng (hợp lí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</si>
</sst>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5" x14ac:knownFonts="1">
    <font>
      <sz val="11"/>
      <color theme="1"/>
      <name val="Calibri"/>
      <family val="2"/>
      <charset val="1"/>
    </font>
    <font>
      <b/>
      <sz val="16"/>
      <color rgb="FFFFFFFF"/>
      <name val="Arial"/>
      <family val="2"/>
    </font>
    <font>
      <i/>
      <sz val="9"/>
      <color rgb="FF64748B"/>
      <name val="Arial"/>
      <family val="2"/>
    </font>
    <font>
      <b/>
      <sz val="11"/>
      <color rgb="FFFFFFFF"/>
      <name val="Arial"/>
      <family val="2"/>
    </font>
    <font>
      <b/>
      <sz val="10"/>
      <color rgb="FF000000"/>
      <name val="Arial"/>
      <family val="2"/>
    </font>
    <font>
      <sz val="10"/>
      <color rgb="FF000000"/>
      <name val="Arial"/>
      <family val="2"/>
    </font>
    <font>
      <b/>
      <sz val="10"/>
      <color rgb="FF0000FF"/>
      <name val="Arial"/>
      <family val="2"/>
    </font>
    <font>
      <i/>
      <sz val="10"/>
      <color rgb="FF0000FF"/>
      <name val="Arial"/>
      <family val="2"/>
    </font>
    <font>
      <sz val="10"/>
      <color rgb="FF008000"/>
      <name val="Arial"/>
      <family val="2"/>
    </font>
    <font>
      <b/>
      <sz val="11"/>
      <name val="Arial"/>
      <family val="2"/>
    </font>
    <font>
      <b/>
      <sz val="11"/>
      <color rgb="FF0F3460"/>
      <name val="Arial"/>
      <family val="2"/>
    </font>
    <font>
      <b/>
      <sz val="11"/>
      <color rgb="FF0000FF"/>
      <name val="Arial"/>
      <family val="2"/>
    </font>
    <font>
      <b/>
      <i/>
      <sz val="9"/>
      <color rgb="FF0F3460"/>
      <name val="Arial"/>
      <family val="2"/>
    </font>
    <font>
      <i/>
      <sz val="9"/>
      <color rgb="FF008000"/>
      <name val="Arial"/>
      <family val="2"/>
    </font>
    <font>
      <b/>
      <sz val="10"/>
      <name val="Arial"/>
      <family val="2"/>
    </font>
    <font>
      <b/>
      <sz val="9"/>
      <name val="Arial"/>
      <family val="2"/>
    </font>
    <font>
      <sz val="9"/>
      <name val="Arial"/>
      <family val="2"/>
    </font>
    <font>
      <b/>
      <sz val="11"/>
      <color rgb="FF000000"/>
      <name val="Arial"/>
      <family val="2"/>
    </font>
    <font>
      <i/>
      <sz val="8"/>
      <color rgb="FF94A3B8"/>
      <name val="Arial"/>
      <family val="2"/>
    </font>
    <font>
      <b/>
      <sz val="12"/>
      <name val="Arial"/>
      <family val="2"/>
    </font>
    <font>
      <b/>
      <sz val="11"/>
      <color theme="1"/>
      <name val="Calibri"/>
      <family val="2"/>
      <charset val="1"/>
    </font>
    <font>
      <b/>
      <sz val="24"/>
      <color theme="1"/>
      <name val="Calibri"/>
      <family val="2"/>
      <charset val="1"/>
    </font>
    <font>
      <b/>
      <sz val="11"/>
      <color theme="1"/>
      <name val="Arial"/>
      <family val="2"/>
    </font>
    <font>
      <b/>
      <sz val="11"/>
      <color theme="1"/>
      <name val="Calibri"/>
      <family val="2"/>
    </font>
    <font>
      <b/>
      <u/>
      <sz val="11"/>
      <color theme="1"/>
      <name val="Calibri"/>
      <family val="2"/>
    </font>
  </fonts>
  <fills count="11">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
      <patternFill patternType="solid">
        <fgColor rgb="FFFFFF00"/>
        <bgColor indexed="64"/>
      </patternFill>
    </fill>
    <fill>
      <patternFill patternType="solid">
        <fgColor theme="0"/>
        <bgColor indexed="64"/>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63">
    <xf numFmtId="0" fontId="0" fillId="0" borderId="0" xfId="0"/>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0" fontId="2" fillId="0" borderId="0" xfId="0" applyFont="1" applyAlignment="1">
      <alignment horizontal="left" vertical="center" wrapText="1"/>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xf numFmtId="0" fontId="0" fillId="0" borderId="0" xfId="0" applyAlignment="1">
      <alignment wrapText="1"/>
    </xf>
    <xf numFmtId="0" fontId="20" fillId="0" borderId="0" xfId="0" applyFont="1"/>
    <xf numFmtId="0" fontId="21" fillId="0" borderId="0" xfId="0" applyFont="1" applyAlignment="1">
      <alignment vertical="center"/>
    </xf>
    <xf numFmtId="0" fontId="0" fillId="0" borderId="0" xfId="0" applyAlignment="1">
      <alignment horizontal="left" vertical="center" indent="1"/>
    </xf>
    <xf numFmtId="0" fontId="22" fillId="0" borderId="0" xfId="0" applyFont="1"/>
    <xf numFmtId="0" fontId="0" fillId="9" borderId="0" xfId="0" applyFill="1"/>
    <xf numFmtId="0" fontId="0" fillId="10" borderId="0" xfId="0" applyFill="1" applyAlignment="1">
      <alignment horizontal="left" vertical="center" indent="1"/>
    </xf>
    <xf numFmtId="0" fontId="23" fillId="9" borderId="0" xfId="0" applyFont="1" applyFill="1"/>
    <xf numFmtId="0" fontId="24" fillId="0" borderId="0" xfId="0" applyFont="1"/>
    <xf numFmtId="0" fontId="7" fillId="7" borderId="3" xfId="0" applyFont="1" applyFill="1" applyBorder="1" applyAlignment="1">
      <alignment horizontal="left" vertical="top" wrapText="1" indent="1"/>
    </xf>
    <xf numFmtId="0" fontId="1" fillId="2" borderId="0" xfId="0" applyFont="1" applyFill="1" applyBorder="1" applyAlignment="1">
      <alignment horizontal="left" vertical="center" indent="1"/>
    </xf>
    <xf numFmtId="0" fontId="2" fillId="0" borderId="0" xfId="0" applyFont="1" applyBorder="1" applyAlignment="1">
      <alignment horizontal="left" vertical="center" wrapText="1"/>
    </xf>
    <xf numFmtId="0" fontId="3" fillId="3" borderId="0" xfId="0" applyFont="1" applyFill="1" applyBorder="1" applyAlignment="1">
      <alignment horizontal="left" vertical="center" indent="1"/>
    </xf>
    <xf numFmtId="0" fontId="19" fillId="0" borderId="0" xfId="0" applyFont="1" applyBorder="1" applyAlignment="1">
      <alignment horizontal="left" vertical="center"/>
    </xf>
  </cellXfs>
  <cellStyles count="1">
    <cellStyle name="Normal" xfId="0" builtinId="0"/>
  </cellStyles>
  <dxfs count="47">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9"/>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6B92-95C5-448A-801F-844B92D09029}">
  <dimension ref="A1:B24"/>
  <sheetViews>
    <sheetView topLeftCell="A10" workbookViewId="0">
      <selection activeCell="B5" sqref="B5"/>
    </sheetView>
  </sheetViews>
  <sheetFormatPr defaultRowHeight="15" x14ac:dyDescent="0.25"/>
  <cols>
    <col min="1" max="1" width="30.140625" customWidth="1"/>
    <col min="2" max="2" width="67.5703125" customWidth="1"/>
    <col min="3" max="3" width="17.140625" customWidth="1"/>
    <col min="4" max="4" width="31.42578125" customWidth="1"/>
    <col min="5" max="5" width="20.28515625" customWidth="1"/>
  </cols>
  <sheetData>
    <row r="1" spans="1:2" x14ac:dyDescent="0.25">
      <c r="A1" s="56" t="s">
        <v>155</v>
      </c>
    </row>
    <row r="2" spans="1:2" x14ac:dyDescent="0.25">
      <c r="A2" s="57" t="s">
        <v>141</v>
      </c>
    </row>
    <row r="3" spans="1:2" x14ac:dyDescent="0.25">
      <c r="B3" t="s">
        <v>144</v>
      </c>
    </row>
    <row r="4" spans="1:2" x14ac:dyDescent="0.25">
      <c r="B4" t="s">
        <v>142</v>
      </c>
    </row>
    <row r="5" spans="1:2" x14ac:dyDescent="0.25">
      <c r="B5" t="s">
        <v>143</v>
      </c>
    </row>
    <row r="6" spans="1:2" x14ac:dyDescent="0.25">
      <c r="B6" t="s">
        <v>145</v>
      </c>
    </row>
    <row r="7" spans="1:2" x14ac:dyDescent="0.25">
      <c r="B7" s="54" t="s">
        <v>146</v>
      </c>
    </row>
    <row r="9" spans="1:2" ht="31.5" x14ac:dyDescent="0.25">
      <c r="B9" s="51" t="s">
        <v>139</v>
      </c>
    </row>
    <row r="10" spans="1:2" x14ac:dyDescent="0.25">
      <c r="B10" s="52" t="s">
        <v>150</v>
      </c>
    </row>
    <row r="11" spans="1:2" x14ac:dyDescent="0.25">
      <c r="B11" s="52" t="s">
        <v>151</v>
      </c>
    </row>
    <row r="12" spans="1:2" x14ac:dyDescent="0.25">
      <c r="B12" s="55" t="s">
        <v>147</v>
      </c>
    </row>
    <row r="13" spans="1:2" x14ac:dyDescent="0.25">
      <c r="B13" s="55" t="s">
        <v>148</v>
      </c>
    </row>
    <row r="14" spans="1:2" x14ac:dyDescent="0.25">
      <c r="B14" s="54" t="s">
        <v>149</v>
      </c>
    </row>
    <row r="15" spans="1:2" ht="31.5" x14ac:dyDescent="0.25">
      <c r="B15" s="51" t="s">
        <v>140</v>
      </c>
    </row>
    <row r="16" spans="1:2" x14ac:dyDescent="0.25">
      <c r="B16" s="52"/>
    </row>
    <row r="17" spans="2:2" x14ac:dyDescent="0.25">
      <c r="B17" s="53" t="s">
        <v>152</v>
      </c>
    </row>
    <row r="18" spans="2:2" x14ac:dyDescent="0.25">
      <c r="B18" s="53" t="s">
        <v>153</v>
      </c>
    </row>
    <row r="20" spans="2:2" x14ac:dyDescent="0.25">
      <c r="B20" s="50" t="s">
        <v>154</v>
      </c>
    </row>
    <row r="23" spans="2:2" x14ac:dyDescent="0.25">
      <c r="B23" s="52"/>
    </row>
    <row r="24" spans="2:2" x14ac:dyDescent="0.25">
      <c r="B24" s="5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3"/>
  <sheetViews>
    <sheetView tabSelected="1" zoomScaleNormal="100" workbookViewId="0">
      <pane ySplit="5" topLeftCell="A39" activePane="bottomLeft" state="frozen"/>
      <selection pane="bottomLeft" activeCell="B39" sqref="B39:F41"/>
    </sheetView>
  </sheetViews>
  <sheetFormatPr defaultColWidth="8.7109375" defaultRowHeight="15" x14ac:dyDescent="0.25"/>
  <cols>
    <col min="1" max="1" width="3" customWidth="1"/>
    <col min="2" max="2" width="38" customWidth="1"/>
    <col min="3" max="5" width="16" customWidth="1"/>
    <col min="6" max="6" width="14" customWidth="1"/>
    <col min="7" max="7" width="50" customWidth="1"/>
    <col min="8" max="8" width="35.28515625" customWidth="1"/>
    <col min="9" max="9" width="39.7109375" customWidth="1"/>
  </cols>
  <sheetData>
    <row r="2" spans="2:9" ht="30" customHeight="1" x14ac:dyDescent="0.25">
      <c r="B2" s="59" t="s">
        <v>0</v>
      </c>
      <c r="C2" s="59"/>
      <c r="D2" s="59"/>
      <c r="E2" s="59"/>
      <c r="F2" s="59"/>
    </row>
    <row r="3" spans="2:9" ht="19.5" customHeight="1" x14ac:dyDescent="0.25">
      <c r="B3" s="60" t="s">
        <v>1</v>
      </c>
      <c r="C3" s="60"/>
      <c r="D3" s="60"/>
      <c r="E3" s="60"/>
      <c r="F3" s="60"/>
      <c r="G3" s="60"/>
    </row>
    <row r="5" spans="2:9" x14ac:dyDescent="0.25">
      <c r="B5" s="61" t="s">
        <v>2</v>
      </c>
      <c r="C5" s="61"/>
      <c r="D5" s="61"/>
      <c r="E5" s="61"/>
      <c r="F5" s="61"/>
    </row>
    <row r="6" spans="2:9" x14ac:dyDescent="0.25">
      <c r="C6" s="1" t="s">
        <v>3</v>
      </c>
      <c r="D6" s="2" t="s">
        <v>4</v>
      </c>
      <c r="E6" s="3" t="s">
        <v>5</v>
      </c>
      <c r="F6" s="4" t="s">
        <v>6</v>
      </c>
      <c r="G6" s="5" t="s">
        <v>7</v>
      </c>
    </row>
    <row r="7" spans="2:9" ht="56.25" customHeight="1" x14ac:dyDescent="0.25">
      <c r="B7" s="6" t="s">
        <v>8</v>
      </c>
      <c r="C7" s="7">
        <v>50000000</v>
      </c>
      <c r="D7" s="7">
        <v>20400000</v>
      </c>
      <c r="E7" s="7">
        <v>2000000</v>
      </c>
      <c r="F7" s="8" t="s">
        <v>9</v>
      </c>
      <c r="G7" s="9" t="s">
        <v>10</v>
      </c>
      <c r="H7" s="49" t="s">
        <v>136</v>
      </c>
      <c r="I7" s="49" t="s">
        <v>137</v>
      </c>
    </row>
    <row r="8" spans="2:9" x14ac:dyDescent="0.25">
      <c r="B8" s="6" t="s">
        <v>11</v>
      </c>
      <c r="C8" s="10">
        <v>1.2E-2</v>
      </c>
      <c r="D8" s="10">
        <v>6.0000000000000001E-3</v>
      </c>
      <c r="E8" s="10">
        <v>2E-3</v>
      </c>
      <c r="F8" s="8" t="s">
        <v>12</v>
      </c>
      <c r="G8" s="9" t="s">
        <v>13</v>
      </c>
    </row>
    <row r="9" spans="2:9" x14ac:dyDescent="0.25">
      <c r="B9" s="6" t="s">
        <v>14</v>
      </c>
      <c r="C9" s="7">
        <v>50000</v>
      </c>
      <c r="D9" s="7">
        <v>5</v>
      </c>
      <c r="E9" s="7">
        <v>50000</v>
      </c>
      <c r="F9" s="8" t="s">
        <v>15</v>
      </c>
      <c r="G9" s="9" t="s">
        <v>16</v>
      </c>
    </row>
    <row r="11" spans="2:9" x14ac:dyDescent="0.25">
      <c r="B11" s="61" t="s">
        <v>17</v>
      </c>
      <c r="C11" s="61"/>
      <c r="D11" s="61"/>
      <c r="E11" s="61"/>
      <c r="F11" s="61"/>
    </row>
    <row r="12" spans="2:9" x14ac:dyDescent="0.25">
      <c r="B12" s="6" t="s">
        <v>18</v>
      </c>
      <c r="C12" s="7">
        <v>1000000</v>
      </c>
      <c r="D12" s="7">
        <v>2550000</v>
      </c>
      <c r="E12" s="7">
        <v>10000000</v>
      </c>
      <c r="F12" s="8" t="s">
        <v>9</v>
      </c>
      <c r="G12" s="9" t="s">
        <v>19</v>
      </c>
      <c r="H12" t="s">
        <v>138</v>
      </c>
    </row>
    <row r="13" spans="2:9" x14ac:dyDescent="0.25">
      <c r="B13" s="6" t="s">
        <v>20</v>
      </c>
      <c r="C13" s="7">
        <v>30000</v>
      </c>
      <c r="D13" s="7">
        <v>3000000</v>
      </c>
      <c r="E13" s="7">
        <v>10000000</v>
      </c>
      <c r="F13" s="8" t="s">
        <v>9</v>
      </c>
      <c r="G13" s="9" t="s">
        <v>21</v>
      </c>
    </row>
    <row r="14" spans="2:9" x14ac:dyDescent="0.25">
      <c r="B14" s="6" t="s">
        <v>22</v>
      </c>
      <c r="C14" s="7">
        <v>20000</v>
      </c>
      <c r="D14" s="7">
        <v>2000000</v>
      </c>
      <c r="E14" s="7">
        <v>5000000</v>
      </c>
      <c r="F14" s="8" t="s">
        <v>9</v>
      </c>
      <c r="G14" s="9" t="s">
        <v>23</v>
      </c>
    </row>
    <row r="15" spans="2:9" x14ac:dyDescent="0.25">
      <c r="B15" s="11" t="s">
        <v>24</v>
      </c>
      <c r="C15" s="12">
        <f>C12+C13+C14</f>
        <v>1050000</v>
      </c>
      <c r="D15" s="12">
        <f>D12+D13+D14</f>
        <v>7550000</v>
      </c>
      <c r="E15" s="12">
        <f>E12+E13+E14</f>
        <v>25000000</v>
      </c>
      <c r="F15" s="13"/>
    </row>
    <row r="17" spans="2:7" x14ac:dyDescent="0.25">
      <c r="B17" s="61" t="s">
        <v>25</v>
      </c>
      <c r="C17" s="61"/>
      <c r="D17" s="61"/>
      <c r="E17" s="61"/>
      <c r="F17" s="61"/>
    </row>
    <row r="18" spans="2:7" x14ac:dyDescent="0.25">
      <c r="B18" s="6" t="s">
        <v>26</v>
      </c>
      <c r="C18" s="10">
        <v>0.01</v>
      </c>
      <c r="D18" s="10">
        <v>0.03</v>
      </c>
      <c r="E18" s="10">
        <v>0.08</v>
      </c>
      <c r="F18" s="8" t="s">
        <v>27</v>
      </c>
      <c r="G18" s="9" t="s">
        <v>28</v>
      </c>
    </row>
    <row r="19" spans="2:7" x14ac:dyDescent="0.25">
      <c r="B19" s="14" t="s">
        <v>29</v>
      </c>
      <c r="C19" s="15">
        <f>IFERROR(1/C18,0)</f>
        <v>100</v>
      </c>
      <c r="D19" s="15">
        <f>IFERROR(1/D18,0)</f>
        <v>33.333333333333336</v>
      </c>
      <c r="E19" s="15">
        <f>IFERROR(1/E18,0)</f>
        <v>12.5</v>
      </c>
      <c r="F19" s="16"/>
    </row>
    <row r="21" spans="2:7" x14ac:dyDescent="0.25">
      <c r="B21" s="61" t="s">
        <v>30</v>
      </c>
      <c r="C21" s="61"/>
      <c r="D21" s="61"/>
      <c r="E21" s="61"/>
      <c r="F21" s="61"/>
    </row>
    <row r="22" spans="2:7" x14ac:dyDescent="0.25">
      <c r="B22" s="6" t="s">
        <v>31</v>
      </c>
      <c r="C22" s="7">
        <v>800000</v>
      </c>
      <c r="D22" s="7">
        <v>50000000</v>
      </c>
      <c r="E22" s="7">
        <v>10000000</v>
      </c>
      <c r="F22" s="8" t="s">
        <v>9</v>
      </c>
      <c r="G22" s="9" t="s">
        <v>32</v>
      </c>
    </row>
    <row r="24" spans="2:7" x14ac:dyDescent="0.25">
      <c r="B24" s="61" t="s">
        <v>33</v>
      </c>
      <c r="C24" s="61"/>
      <c r="D24" s="61"/>
      <c r="E24" s="61"/>
      <c r="F24" s="61"/>
    </row>
    <row r="25" spans="2:7" x14ac:dyDescent="0.25">
      <c r="B25" s="6" t="s">
        <v>34</v>
      </c>
      <c r="C25" s="7">
        <v>80000000</v>
      </c>
      <c r="D25" s="7">
        <v>200000000</v>
      </c>
      <c r="E25" s="7">
        <v>500000000</v>
      </c>
      <c r="F25" s="8" t="s">
        <v>35</v>
      </c>
      <c r="G25" s="9" t="s">
        <v>36</v>
      </c>
    </row>
    <row r="26" spans="2:7" x14ac:dyDescent="0.25">
      <c r="B26" s="6" t="s">
        <v>37</v>
      </c>
      <c r="C26" s="7">
        <v>15000000</v>
      </c>
      <c r="D26" s="7">
        <v>100000000</v>
      </c>
      <c r="E26" s="7">
        <v>25000000</v>
      </c>
      <c r="F26" s="8" t="s">
        <v>35</v>
      </c>
    </row>
    <row r="27" spans="2:7" x14ac:dyDescent="0.25">
      <c r="B27" s="6" t="s">
        <v>38</v>
      </c>
      <c r="C27" s="7">
        <v>50000000</v>
      </c>
      <c r="D27" s="7">
        <v>200000000</v>
      </c>
      <c r="E27" s="7">
        <v>500000000</v>
      </c>
      <c r="F27" s="8" t="s">
        <v>35</v>
      </c>
    </row>
    <row r="28" spans="2:7" x14ac:dyDescent="0.25">
      <c r="B28" s="14" t="s">
        <v>39</v>
      </c>
      <c r="C28" s="17">
        <f>SUM(C25:C27)</f>
        <v>145000000</v>
      </c>
      <c r="D28" s="17">
        <f>SUM(D25:D27)</f>
        <v>500000000</v>
      </c>
      <c r="E28" s="17">
        <f>SUM(E25:E27)</f>
        <v>1025000000</v>
      </c>
      <c r="F28" s="16"/>
    </row>
    <row r="30" spans="2:7" x14ac:dyDescent="0.25">
      <c r="B30" s="61" t="s">
        <v>40</v>
      </c>
      <c r="C30" s="61"/>
      <c r="D30" s="61"/>
      <c r="E30" s="61"/>
      <c r="F30" s="61"/>
    </row>
    <row r="31" spans="2:7" x14ac:dyDescent="0.25">
      <c r="B31" s="6" t="s">
        <v>41</v>
      </c>
      <c r="C31" s="7">
        <v>100000000</v>
      </c>
      <c r="D31" s="7">
        <v>500000000</v>
      </c>
      <c r="E31" s="7">
        <v>1000000000</v>
      </c>
      <c r="F31" s="8" t="s">
        <v>9</v>
      </c>
      <c r="G31" s="9" t="s">
        <v>42</v>
      </c>
    </row>
    <row r="32" spans="2:7" x14ac:dyDescent="0.25">
      <c r="B32" s="6" t="s">
        <v>43</v>
      </c>
      <c r="C32" s="7">
        <v>2000000000</v>
      </c>
      <c r="D32" s="7">
        <v>3000000000</v>
      </c>
      <c r="E32" s="7">
        <v>5000000000</v>
      </c>
      <c r="F32" s="8" t="s">
        <v>9</v>
      </c>
      <c r="G32" s="9" t="s">
        <v>44</v>
      </c>
    </row>
    <row r="34" spans="2:11" x14ac:dyDescent="0.25">
      <c r="B34" s="61" t="s">
        <v>45</v>
      </c>
      <c r="C34" s="61"/>
      <c r="D34" s="61"/>
      <c r="E34" s="61"/>
      <c r="F34" s="61"/>
    </row>
    <row r="35" spans="2:11" x14ac:dyDescent="0.25">
      <c r="B35" s="6" t="s">
        <v>46</v>
      </c>
      <c r="C35" s="10">
        <v>0.2</v>
      </c>
      <c r="D35" s="10">
        <v>0.2</v>
      </c>
      <c r="E35" s="10">
        <v>0.2</v>
      </c>
      <c r="F35" s="8" t="s">
        <v>47</v>
      </c>
      <c r="G35" s="9" t="s">
        <v>48</v>
      </c>
    </row>
    <row r="36" spans="2:11" x14ac:dyDescent="0.25">
      <c r="B36" s="14" t="s">
        <v>49</v>
      </c>
      <c r="C36" s="18">
        <f>(1+C35)^(1/12)-1</f>
        <v>1.5309470499731193E-2</v>
      </c>
      <c r="D36" s="18">
        <f>(1+D35)^(1/12)-1</f>
        <v>1.5309470499731193E-2</v>
      </c>
      <c r="E36" s="18">
        <f>(1+E35)^(1/12)-1</f>
        <v>1.5309470499731193E-2</v>
      </c>
      <c r="F36" s="16"/>
    </row>
    <row r="38" spans="2:11" x14ac:dyDescent="0.25">
      <c r="B38" s="61" t="s">
        <v>50</v>
      </c>
      <c r="C38" s="61"/>
      <c r="D38" s="61"/>
      <c r="E38" s="61"/>
      <c r="F38" s="61"/>
    </row>
    <row r="39" spans="2:11" ht="24.75" customHeight="1" x14ac:dyDescent="0.25">
      <c r="B39" s="58" t="s">
        <v>157</v>
      </c>
      <c r="C39" s="58"/>
      <c r="D39" s="58"/>
      <c r="E39" s="58"/>
      <c r="F39" s="58"/>
    </row>
    <row r="40" spans="2:11" ht="24.75" customHeight="1" x14ac:dyDescent="0.25">
      <c r="B40" s="58"/>
      <c r="C40" s="58"/>
      <c r="D40" s="58"/>
      <c r="E40" s="58"/>
      <c r="F40" s="58"/>
    </row>
    <row r="41" spans="2:11" ht="246" customHeight="1" x14ac:dyDescent="0.25">
      <c r="B41" s="58"/>
      <c r="C41" s="58"/>
      <c r="D41" s="58"/>
      <c r="E41" s="58"/>
      <c r="F41" s="58"/>
      <c r="G41" s="58" t="s">
        <v>156</v>
      </c>
      <c r="H41" s="58"/>
      <c r="I41" s="58"/>
      <c r="J41" s="58"/>
      <c r="K41" s="58"/>
    </row>
    <row r="42" spans="2:11" x14ac:dyDescent="0.25">
      <c r="G42" s="58"/>
      <c r="H42" s="58"/>
      <c r="I42" s="58"/>
      <c r="J42" s="58"/>
      <c r="K42" s="58"/>
    </row>
    <row r="43" spans="2:11" x14ac:dyDescent="0.25">
      <c r="G43" s="58"/>
      <c r="H43" s="58"/>
      <c r="I43" s="58"/>
      <c r="J43" s="58"/>
      <c r="K43" s="58"/>
    </row>
  </sheetData>
  <mergeCells count="12">
    <mergeCell ref="G41:K43"/>
    <mergeCell ref="B2:F2"/>
    <mergeCell ref="B3:G3"/>
    <mergeCell ref="B5:F5"/>
    <mergeCell ref="B11:F11"/>
    <mergeCell ref="B17:F17"/>
    <mergeCell ref="B39:F41"/>
    <mergeCell ref="B21:F21"/>
    <mergeCell ref="B24:F24"/>
    <mergeCell ref="B30:F30"/>
    <mergeCell ref="B34:F34"/>
    <mergeCell ref="B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18" activePane="bottomLeft" state="frozen"/>
      <selection pane="bottomLeft" activeCell="D22" sqref="D22"/>
    </sheetView>
  </sheetViews>
  <sheetFormatPr defaultColWidth="8.7109375" defaultRowHeight="15" x14ac:dyDescent="0.25"/>
  <cols>
    <col min="1" max="1" width="3" customWidth="1"/>
    <col min="2" max="2" width="38" customWidth="1"/>
    <col min="3" max="5" width="16" customWidth="1"/>
    <col min="6" max="6" width="14" customWidth="1"/>
    <col min="7" max="7" width="50" customWidth="1"/>
  </cols>
  <sheetData>
    <row r="2" spans="2:7" ht="30" customHeight="1" x14ac:dyDescent="0.25">
      <c r="B2" s="59" t="s">
        <v>51</v>
      </c>
      <c r="C2" s="59"/>
      <c r="D2" s="59"/>
      <c r="E2" s="59"/>
      <c r="F2" s="59"/>
    </row>
    <row r="3" spans="2:7" ht="19.5" customHeight="1" x14ac:dyDescent="0.25">
      <c r="B3" s="60" t="s">
        <v>52</v>
      </c>
      <c r="C3" s="60"/>
      <c r="D3" s="60"/>
      <c r="E3" s="60"/>
      <c r="F3" s="60"/>
      <c r="G3" s="60"/>
    </row>
    <row r="5" spans="2:7" x14ac:dyDescent="0.25">
      <c r="B5" s="5" t="s">
        <v>53</v>
      </c>
      <c r="C5" s="1" t="s">
        <v>3</v>
      </c>
      <c r="D5" s="2" t="s">
        <v>4</v>
      </c>
      <c r="E5" s="3" t="s">
        <v>5</v>
      </c>
      <c r="F5" s="4" t="s">
        <v>6</v>
      </c>
      <c r="G5" s="5" t="s">
        <v>54</v>
      </c>
    </row>
    <row r="7" spans="2:7" x14ac:dyDescent="0.25">
      <c r="B7" s="61" t="s">
        <v>55</v>
      </c>
      <c r="C7" s="61"/>
      <c r="D7" s="61"/>
      <c r="E7" s="61"/>
      <c r="F7" s="61"/>
    </row>
    <row r="8" spans="2:7" x14ac:dyDescent="0.25">
      <c r="B8" s="6" t="s">
        <v>56</v>
      </c>
      <c r="C8" s="19">
        <f>'1. Assumptions'!C7</f>
        <v>50000000</v>
      </c>
      <c r="D8" s="19">
        <f>'1. Assumptions'!D7</f>
        <v>20400000</v>
      </c>
      <c r="E8" s="19">
        <f>'1. Assumptions'!E7</f>
        <v>2000000</v>
      </c>
      <c r="F8" s="8" t="s">
        <v>9</v>
      </c>
      <c r="G8" s="9" t="s">
        <v>57</v>
      </c>
    </row>
    <row r="9" spans="2:7" x14ac:dyDescent="0.25">
      <c r="B9" s="6" t="s">
        <v>58</v>
      </c>
      <c r="C9" s="19">
        <f>'1. Assumptions'!C15</f>
        <v>1050000</v>
      </c>
      <c r="D9" s="19">
        <f>'1. Assumptions'!D15</f>
        <v>7550000</v>
      </c>
      <c r="E9" s="19">
        <f>'1. Assumptions'!E15</f>
        <v>25000000</v>
      </c>
      <c r="F9" s="8" t="s">
        <v>9</v>
      </c>
    </row>
    <row r="10" spans="2:7" x14ac:dyDescent="0.25">
      <c r="B10" s="14" t="s">
        <v>59</v>
      </c>
      <c r="C10" s="17">
        <f>C8-C9</f>
        <v>48950000</v>
      </c>
      <c r="D10" s="17">
        <f>D8-D9</f>
        <v>12850000</v>
      </c>
      <c r="E10" s="17">
        <f>E8-E9</f>
        <v>-23000000</v>
      </c>
      <c r="F10" s="16"/>
    </row>
    <row r="11" spans="2:7" x14ac:dyDescent="0.25">
      <c r="B11" s="14" t="s">
        <v>60</v>
      </c>
      <c r="C11" s="18">
        <f>IFERROR(C10/C8,0)</f>
        <v>0.97899999999999998</v>
      </c>
      <c r="D11" s="18">
        <f>IFERROR(D10/D8,0)</f>
        <v>0.62990196078431371</v>
      </c>
      <c r="E11" s="18">
        <f>IFERROR(E10/E8,0)</f>
        <v>-11.5</v>
      </c>
      <c r="F11" s="16"/>
      <c r="G11" s="9" t="s">
        <v>61</v>
      </c>
    </row>
    <row r="13" spans="2:7" x14ac:dyDescent="0.25">
      <c r="B13" s="61" t="s">
        <v>62</v>
      </c>
      <c r="C13" s="61"/>
      <c r="D13" s="61"/>
      <c r="E13" s="61"/>
      <c r="F13" s="61"/>
    </row>
    <row r="14" spans="2:7" x14ac:dyDescent="0.25">
      <c r="B14" s="6" t="s">
        <v>63</v>
      </c>
      <c r="C14" s="20">
        <f>'1. Assumptions'!C19</f>
        <v>100</v>
      </c>
      <c r="D14" s="20">
        <f>'1. Assumptions'!D19</f>
        <v>33.333333333333336</v>
      </c>
      <c r="E14" s="20">
        <f>'1. Assumptions'!E19</f>
        <v>12.5</v>
      </c>
      <c r="F14" s="8" t="s">
        <v>64</v>
      </c>
    </row>
    <row r="15" spans="2:7" x14ac:dyDescent="0.25">
      <c r="B15" s="14" t="s">
        <v>65</v>
      </c>
      <c r="C15" s="17">
        <f>C10*C14</f>
        <v>4895000000</v>
      </c>
      <c r="D15" s="17">
        <f>D10*D14</f>
        <v>428333333.33333337</v>
      </c>
      <c r="E15" s="17">
        <f>E10*E14</f>
        <v>-287500000</v>
      </c>
      <c r="F15" s="16"/>
      <c r="G15" s="9" t="s">
        <v>66</v>
      </c>
    </row>
    <row r="17" spans="2:7" x14ac:dyDescent="0.25">
      <c r="B17" s="61" t="s">
        <v>67</v>
      </c>
      <c r="C17" s="61"/>
      <c r="D17" s="61"/>
      <c r="E17" s="61"/>
      <c r="F17" s="61"/>
    </row>
    <row r="18" spans="2:7" x14ac:dyDescent="0.25">
      <c r="B18" s="6" t="s">
        <v>68</v>
      </c>
      <c r="C18" s="19">
        <f>'1. Assumptions'!C22</f>
        <v>800000</v>
      </c>
      <c r="D18" s="19">
        <f>'1. Assumptions'!D22</f>
        <v>50000000</v>
      </c>
      <c r="E18" s="19">
        <f>'1. Assumptions'!E22</f>
        <v>10000000</v>
      </c>
      <c r="F18" s="8" t="s">
        <v>9</v>
      </c>
    </row>
    <row r="20" spans="2:7" x14ac:dyDescent="0.25">
      <c r="B20" s="61" t="s">
        <v>69</v>
      </c>
      <c r="C20" s="61"/>
      <c r="D20" s="61"/>
      <c r="E20" s="61"/>
      <c r="F20" s="61"/>
    </row>
    <row r="21" spans="2:7" x14ac:dyDescent="0.25">
      <c r="B21" s="14" t="s">
        <v>70</v>
      </c>
      <c r="C21" s="21">
        <f>IFERROR(C15/C18,0)</f>
        <v>6118.75</v>
      </c>
      <c r="D21" s="21">
        <f>IFERROR(D15/D18,0)</f>
        <v>8.5666666666666682</v>
      </c>
      <c r="E21" s="21">
        <f>IFERROR(E15/E18,0)</f>
        <v>-28.75</v>
      </c>
      <c r="F21" s="16"/>
      <c r="G21" s="9" t="s">
        <v>71</v>
      </c>
    </row>
    <row r="22" spans="2:7" x14ac:dyDescent="0.25">
      <c r="B22" s="14" t="s">
        <v>72</v>
      </c>
      <c r="C22" s="15">
        <f>IFERROR(C18/C10,0)</f>
        <v>1.634320735444331E-2</v>
      </c>
      <c r="D22" s="15">
        <f>IFERROR(D18/D10,0)</f>
        <v>3.8910505836575875</v>
      </c>
      <c r="E22" s="15">
        <f>IFERROR(E18/E10,0)</f>
        <v>-0.43478260869565216</v>
      </c>
      <c r="F22" s="16"/>
      <c r="G22" s="9" t="s">
        <v>73</v>
      </c>
    </row>
    <row r="24" spans="2:7" x14ac:dyDescent="0.25">
      <c r="B24" s="61" t="s">
        <v>74</v>
      </c>
      <c r="C24" s="61"/>
      <c r="D24" s="61"/>
      <c r="E24" s="61"/>
      <c r="F24" s="61"/>
    </row>
    <row r="25" spans="2:7" x14ac:dyDescent="0.25">
      <c r="B25" s="5" t="s">
        <v>75</v>
      </c>
      <c r="C25" s="22" t="str">
        <f>IF(AND(C21&gt;=3,C22&lt;=12),"✓ HEALTHY",IF(OR(C21&lt;1,C22&gt;18),"✗ UNHEALTHY","⚠ WATCH"))</f>
        <v>✓ HEALTHY</v>
      </c>
      <c r="D25" s="22" t="str">
        <f>IF(AND(D21&gt;=3,D22&lt;=12),"✓ HEALTHY",IF(OR(D21&lt;1,D22&gt;18),"✗ UNHEALTHY","⚠ WATCH"))</f>
        <v>✓ HEALTHY</v>
      </c>
      <c r="E25" s="22"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
    <cfRule type="cellIs" dxfId="46" priority="2" operator="lessThan">
      <formula>1</formula>
    </cfRule>
    <cfRule type="cellIs" dxfId="45" priority="3" operator="between">
      <formula>1</formula>
      <formula>3</formula>
    </cfRule>
    <cfRule type="cellIs" dxfId="44" priority="4" operator="greaterThanOrEqual">
      <formula>3</formula>
    </cfRule>
  </conditionalFormatting>
  <conditionalFormatting sqref="D21">
    <cfRule type="cellIs" dxfId="43" priority="5" operator="lessThan">
      <formula>1</formula>
    </cfRule>
    <cfRule type="cellIs" dxfId="42" priority="6" operator="between">
      <formula>1</formula>
      <formula>3</formula>
    </cfRule>
    <cfRule type="cellIs" dxfId="41" priority="7" operator="greaterThanOrEqual">
      <formula>3</formula>
    </cfRule>
  </conditionalFormatting>
  <conditionalFormatting sqref="E21">
    <cfRule type="cellIs" dxfId="40" priority="8" operator="lessThan">
      <formula>1</formula>
    </cfRule>
    <cfRule type="cellIs" dxfId="39" priority="9" operator="between">
      <formula>1</formula>
      <formula>3</formula>
    </cfRule>
    <cfRule type="cellIs" dxfId="38" priority="10" operator="greaterThanOrEqual">
      <formula>3</formula>
    </cfRule>
  </conditionalFormatting>
  <conditionalFormatting sqref="C22">
    <cfRule type="cellIs" dxfId="37" priority="11" operator="greaterThan">
      <formula>18</formula>
    </cfRule>
    <cfRule type="cellIs" dxfId="36" priority="12" operator="between">
      <formula>12</formula>
      <formula>18</formula>
    </cfRule>
    <cfRule type="cellIs" dxfId="35" priority="13" operator="lessThanOrEqual">
      <formula>12</formula>
    </cfRule>
  </conditionalFormatting>
  <conditionalFormatting sqref="D22">
    <cfRule type="cellIs" dxfId="34" priority="14" operator="greaterThan">
      <formula>18</formula>
    </cfRule>
    <cfRule type="cellIs" dxfId="33" priority="15" operator="between">
      <formula>12</formula>
      <formula>18</formula>
    </cfRule>
    <cfRule type="cellIs" dxfId="32" priority="16" operator="lessThanOrEqual">
      <formula>12</formula>
    </cfRule>
  </conditionalFormatting>
  <conditionalFormatting sqref="E22">
    <cfRule type="cellIs" dxfId="31" priority="17" operator="greaterThan">
      <formula>18</formula>
    </cfRule>
    <cfRule type="cellIs" dxfId="30" priority="18" operator="between">
      <formula>12</formula>
      <formula>18</formula>
    </cfRule>
    <cfRule type="cellIs" dxfId="29" priority="19" operator="lessThanOrEqual">
      <formula>12</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22" activePane="bottomRight" state="frozen"/>
      <selection pane="topRight" activeCell="C1" sqref="C1"/>
      <selection pane="bottomLeft" activeCell="A22" sqref="A22"/>
      <selection pane="bottomRight"/>
    </sheetView>
  </sheetViews>
  <sheetFormatPr defaultColWidth="8.7109375" defaultRowHeight="15" x14ac:dyDescent="0.25"/>
  <cols>
    <col min="1" max="1" width="3" customWidth="1"/>
    <col min="2" max="2" width="36" customWidth="1"/>
    <col min="3" max="26" width="13" customWidth="1"/>
    <col min="27" max="27" width="16" customWidth="1"/>
  </cols>
  <sheetData>
    <row r="2" spans="2:8" ht="30" customHeight="1" x14ac:dyDescent="0.25">
      <c r="B2" s="59" t="s">
        <v>76</v>
      </c>
      <c r="C2" s="59"/>
      <c r="D2" s="59"/>
      <c r="E2" s="59"/>
      <c r="F2" s="59"/>
      <c r="G2" s="59"/>
      <c r="H2" s="59"/>
    </row>
    <row r="4" spans="2:8" ht="15" customHeight="1" x14ac:dyDescent="0.25">
      <c r="B4" s="23" t="s">
        <v>77</v>
      </c>
      <c r="C4" s="24" t="s">
        <v>4</v>
      </c>
      <c r="D4" s="60" t="s">
        <v>78</v>
      </c>
      <c r="E4" s="60"/>
      <c r="F4" s="60"/>
      <c r="G4" s="60"/>
      <c r="H4" s="60"/>
    </row>
    <row r="6" spans="2:8" x14ac:dyDescent="0.25">
      <c r="B6" s="25" t="s">
        <v>79</v>
      </c>
      <c r="C6" s="25">
        <f>MATCH(C4,{"Optimistic","Base","Pessimistic"},0)</f>
        <v>2</v>
      </c>
    </row>
    <row r="7" spans="2:8" x14ac:dyDescent="0.25">
      <c r="B7" s="26" t="s">
        <v>80</v>
      </c>
    </row>
    <row r="8" spans="2:8" x14ac:dyDescent="0.25">
      <c r="B8" s="27" t="s">
        <v>81</v>
      </c>
      <c r="C8" s="28">
        <f>CHOOSE($C$6,'1. Assumptions'!C7,'1. Assumptions'!D7,'1. Assumptions'!E7)</f>
        <v>20400000</v>
      </c>
    </row>
    <row r="9" spans="2:8" x14ac:dyDescent="0.25">
      <c r="B9" s="27" t="s">
        <v>82</v>
      </c>
      <c r="C9" s="29">
        <f>CHOOSE($C$6,'1. Assumptions'!C8,'1. Assumptions'!D8,'1. Assumptions'!E8)</f>
        <v>6.0000000000000001E-3</v>
      </c>
    </row>
    <row r="10" spans="2:8" x14ac:dyDescent="0.25">
      <c r="B10" s="27" t="s">
        <v>83</v>
      </c>
      <c r="C10" s="28">
        <f>CHOOSE($C$6,'1. Assumptions'!C9,'1. Assumptions'!D9,'1. Assumptions'!E9)</f>
        <v>5</v>
      </c>
    </row>
    <row r="11" spans="2:8" x14ac:dyDescent="0.25">
      <c r="B11" s="27" t="s">
        <v>84</v>
      </c>
      <c r="C11" s="28">
        <f>CHOOSE($C$6,'1. Assumptions'!C15,'1. Assumptions'!D15,'1. Assumptions'!E15)</f>
        <v>7550000</v>
      </c>
    </row>
    <row r="12" spans="2:8" x14ac:dyDescent="0.25">
      <c r="B12" s="27" t="s">
        <v>85</v>
      </c>
      <c r="C12" s="29">
        <f>CHOOSE($C$6,'1. Assumptions'!C18,'1. Assumptions'!D18,'1. Assumptions'!E18)</f>
        <v>0.03</v>
      </c>
    </row>
    <row r="13" spans="2:8" x14ac:dyDescent="0.25">
      <c r="B13" s="27" t="s">
        <v>86</v>
      </c>
      <c r="C13" s="28">
        <f>CHOOSE($C$6,'1. Assumptions'!C22,'1. Assumptions'!D22,'1. Assumptions'!E22)</f>
        <v>50000000</v>
      </c>
    </row>
    <row r="14" spans="2:8" x14ac:dyDescent="0.25">
      <c r="B14" s="27" t="s">
        <v>87</v>
      </c>
      <c r="C14" s="28">
        <f>CHOOSE($C$6,'1. Assumptions'!C28,'1. Assumptions'!D28,'1. Assumptions'!E28)</f>
        <v>500000000</v>
      </c>
    </row>
    <row r="15" spans="2:8" x14ac:dyDescent="0.25">
      <c r="B15" s="27" t="s">
        <v>88</v>
      </c>
      <c r="C15" s="28">
        <f>CHOOSE($C$6,'1. Assumptions'!C31,'1. Assumptions'!D31,'1. Assumptions'!E31)</f>
        <v>500000000</v>
      </c>
    </row>
    <row r="16" spans="2:8" x14ac:dyDescent="0.25">
      <c r="B16" s="27" t="s">
        <v>89</v>
      </c>
      <c r="C16" s="28">
        <f>CHOOSE($C$6,'1. Assumptions'!C32,'1. Assumptions'!D32,'1. Assumptions'!E32)</f>
        <v>3000000000</v>
      </c>
    </row>
    <row r="17" spans="2:27" x14ac:dyDescent="0.25">
      <c r="B17" s="27" t="s">
        <v>90</v>
      </c>
      <c r="C17" s="29">
        <f>CHOOSE($C$6,'1. Assumptions'!C36,'1. Assumptions'!D36,'1. Assumptions'!E36)</f>
        <v>1.5309470499731193E-2</v>
      </c>
    </row>
    <row r="20" spans="2:27" x14ac:dyDescent="0.25">
      <c r="B20" s="61" t="s">
        <v>91</v>
      </c>
      <c r="C20" s="61"/>
      <c r="D20" s="61"/>
      <c r="E20" s="61"/>
      <c r="F20" s="61"/>
      <c r="G20" s="61"/>
      <c r="H20" s="61"/>
      <c r="I20" s="61"/>
      <c r="J20" s="61"/>
      <c r="K20" s="61"/>
      <c r="L20" s="61"/>
      <c r="M20" s="61"/>
      <c r="N20" s="61"/>
      <c r="O20" s="61"/>
      <c r="P20" s="61"/>
      <c r="Q20" s="61"/>
      <c r="R20" s="61"/>
      <c r="S20" s="61"/>
      <c r="T20" s="61"/>
      <c r="U20" s="61"/>
      <c r="V20" s="61"/>
      <c r="W20" s="61"/>
      <c r="X20" s="61"/>
      <c r="Y20" s="61"/>
      <c r="Z20" s="61"/>
      <c r="AA20" s="61"/>
    </row>
    <row r="21" spans="2:27" x14ac:dyDescent="0.25">
      <c r="B21" s="30" t="s">
        <v>92</v>
      </c>
      <c r="C21" s="31" t="s">
        <v>93</v>
      </c>
      <c r="D21" s="31" t="s">
        <v>94</v>
      </c>
      <c r="E21" s="31" t="s">
        <v>95</v>
      </c>
      <c r="F21" s="31" t="s">
        <v>96</v>
      </c>
      <c r="G21" s="31" t="s">
        <v>97</v>
      </c>
      <c r="H21" s="31" t="s">
        <v>98</v>
      </c>
      <c r="I21" s="31" t="s">
        <v>99</v>
      </c>
      <c r="J21" s="31" t="s">
        <v>100</v>
      </c>
      <c r="K21" s="31" t="s">
        <v>101</v>
      </c>
      <c r="L21" s="31" t="s">
        <v>102</v>
      </c>
      <c r="M21" s="31" t="s">
        <v>103</v>
      </c>
      <c r="N21" s="31" t="s">
        <v>104</v>
      </c>
      <c r="O21" s="31" t="s">
        <v>105</v>
      </c>
      <c r="P21" s="31" t="s">
        <v>106</v>
      </c>
      <c r="Q21" s="31" t="s">
        <v>107</v>
      </c>
      <c r="R21" s="31" t="s">
        <v>108</v>
      </c>
      <c r="S21" s="31" t="s">
        <v>109</v>
      </c>
      <c r="T21" s="31" t="s">
        <v>110</v>
      </c>
      <c r="U21" s="31" t="s">
        <v>111</v>
      </c>
      <c r="V21" s="31" t="s">
        <v>112</v>
      </c>
      <c r="W21" s="31" t="s">
        <v>113</v>
      </c>
      <c r="X21" s="31" t="s">
        <v>114</v>
      </c>
      <c r="Y21" s="31" t="s">
        <v>115</v>
      </c>
      <c r="Z21" s="31" t="s">
        <v>116</v>
      </c>
      <c r="AA21" s="32" t="s">
        <v>117</v>
      </c>
    </row>
    <row r="22" spans="2:27" x14ac:dyDescent="0.25">
      <c r="B22" s="6" t="s">
        <v>118</v>
      </c>
      <c r="C22" s="33">
        <f t="shared" ref="C22:Z22" si="0">ROUND($C$10*$C$9,0)</f>
        <v>0</v>
      </c>
      <c r="D22" s="33">
        <f t="shared" si="0"/>
        <v>0</v>
      </c>
      <c r="E22" s="33">
        <f t="shared" si="0"/>
        <v>0</v>
      </c>
      <c r="F22" s="33">
        <f t="shared" si="0"/>
        <v>0</v>
      </c>
      <c r="G22" s="33">
        <f t="shared" si="0"/>
        <v>0</v>
      </c>
      <c r="H22" s="33">
        <f t="shared" si="0"/>
        <v>0</v>
      </c>
      <c r="I22" s="33">
        <f t="shared" si="0"/>
        <v>0</v>
      </c>
      <c r="J22" s="33">
        <f t="shared" si="0"/>
        <v>0</v>
      </c>
      <c r="K22" s="33">
        <f t="shared" si="0"/>
        <v>0</v>
      </c>
      <c r="L22" s="33">
        <f t="shared" si="0"/>
        <v>0</v>
      </c>
      <c r="M22" s="33">
        <f t="shared" si="0"/>
        <v>0</v>
      </c>
      <c r="N22" s="33">
        <f t="shared" si="0"/>
        <v>0</v>
      </c>
      <c r="O22" s="33">
        <f t="shared" si="0"/>
        <v>0</v>
      </c>
      <c r="P22" s="33">
        <f t="shared" si="0"/>
        <v>0</v>
      </c>
      <c r="Q22" s="33">
        <f t="shared" si="0"/>
        <v>0</v>
      </c>
      <c r="R22" s="33">
        <f t="shared" si="0"/>
        <v>0</v>
      </c>
      <c r="S22" s="33">
        <f t="shared" si="0"/>
        <v>0</v>
      </c>
      <c r="T22" s="33">
        <f t="shared" si="0"/>
        <v>0</v>
      </c>
      <c r="U22" s="33">
        <f t="shared" si="0"/>
        <v>0</v>
      </c>
      <c r="V22" s="33">
        <f t="shared" si="0"/>
        <v>0</v>
      </c>
      <c r="W22" s="33">
        <f t="shared" si="0"/>
        <v>0</v>
      </c>
      <c r="X22" s="33">
        <f t="shared" si="0"/>
        <v>0</v>
      </c>
      <c r="Y22" s="33">
        <f t="shared" si="0"/>
        <v>0</v>
      </c>
      <c r="Z22" s="33">
        <f t="shared" si="0"/>
        <v>0</v>
      </c>
      <c r="AA22" s="34">
        <f>SUM(C22:Z22)</f>
        <v>0</v>
      </c>
    </row>
    <row r="23" spans="2:27" x14ac:dyDescent="0.25">
      <c r="B23" s="6" t="s">
        <v>119</v>
      </c>
      <c r="C23" s="33">
        <f>C22</f>
        <v>0</v>
      </c>
      <c r="D23" s="33">
        <f t="shared" ref="D23:Z23" si="1">C23*(1-$C$12)+D22</f>
        <v>0</v>
      </c>
      <c r="E23" s="33">
        <f t="shared" si="1"/>
        <v>0</v>
      </c>
      <c r="F23" s="33">
        <f t="shared" si="1"/>
        <v>0</v>
      </c>
      <c r="G23" s="33">
        <f t="shared" si="1"/>
        <v>0</v>
      </c>
      <c r="H23" s="33">
        <f t="shared" si="1"/>
        <v>0</v>
      </c>
      <c r="I23" s="33">
        <f t="shared" si="1"/>
        <v>0</v>
      </c>
      <c r="J23" s="33">
        <f t="shared" si="1"/>
        <v>0</v>
      </c>
      <c r="K23" s="33">
        <f t="shared" si="1"/>
        <v>0</v>
      </c>
      <c r="L23" s="33">
        <f t="shared" si="1"/>
        <v>0</v>
      </c>
      <c r="M23" s="33">
        <f t="shared" si="1"/>
        <v>0</v>
      </c>
      <c r="N23" s="33">
        <f t="shared" si="1"/>
        <v>0</v>
      </c>
      <c r="O23" s="33">
        <f t="shared" si="1"/>
        <v>0</v>
      </c>
      <c r="P23" s="33">
        <f t="shared" si="1"/>
        <v>0</v>
      </c>
      <c r="Q23" s="33">
        <f t="shared" si="1"/>
        <v>0</v>
      </c>
      <c r="R23" s="33">
        <f t="shared" si="1"/>
        <v>0</v>
      </c>
      <c r="S23" s="33">
        <f t="shared" si="1"/>
        <v>0</v>
      </c>
      <c r="T23" s="33">
        <f t="shared" si="1"/>
        <v>0</v>
      </c>
      <c r="U23" s="33">
        <f t="shared" si="1"/>
        <v>0</v>
      </c>
      <c r="V23" s="33">
        <f t="shared" si="1"/>
        <v>0</v>
      </c>
      <c r="W23" s="33">
        <f t="shared" si="1"/>
        <v>0</v>
      </c>
      <c r="X23" s="33">
        <f t="shared" si="1"/>
        <v>0</v>
      </c>
      <c r="Y23" s="33">
        <f t="shared" si="1"/>
        <v>0</v>
      </c>
      <c r="Z23" s="33">
        <f t="shared" si="1"/>
        <v>0</v>
      </c>
    </row>
    <row r="25" spans="2:27" x14ac:dyDescent="0.25">
      <c r="B25" s="35" t="s">
        <v>120</v>
      </c>
      <c r="C25" s="36">
        <f t="shared" ref="C25:Z25" si="2">C23*$C$8</f>
        <v>0</v>
      </c>
      <c r="D25" s="36">
        <f t="shared" si="2"/>
        <v>0</v>
      </c>
      <c r="E25" s="36">
        <f t="shared" si="2"/>
        <v>0</v>
      </c>
      <c r="F25" s="36">
        <f t="shared" si="2"/>
        <v>0</v>
      </c>
      <c r="G25" s="36">
        <f t="shared" si="2"/>
        <v>0</v>
      </c>
      <c r="H25" s="36">
        <f t="shared" si="2"/>
        <v>0</v>
      </c>
      <c r="I25" s="36">
        <f t="shared" si="2"/>
        <v>0</v>
      </c>
      <c r="J25" s="36">
        <f t="shared" si="2"/>
        <v>0</v>
      </c>
      <c r="K25" s="36">
        <f t="shared" si="2"/>
        <v>0</v>
      </c>
      <c r="L25" s="36">
        <f t="shared" si="2"/>
        <v>0</v>
      </c>
      <c r="M25" s="36">
        <f t="shared" si="2"/>
        <v>0</v>
      </c>
      <c r="N25" s="36">
        <f t="shared" si="2"/>
        <v>0</v>
      </c>
      <c r="O25" s="36">
        <f t="shared" si="2"/>
        <v>0</v>
      </c>
      <c r="P25" s="36">
        <f t="shared" si="2"/>
        <v>0</v>
      </c>
      <c r="Q25" s="36">
        <f t="shared" si="2"/>
        <v>0</v>
      </c>
      <c r="R25" s="36">
        <f t="shared" si="2"/>
        <v>0</v>
      </c>
      <c r="S25" s="36">
        <f t="shared" si="2"/>
        <v>0</v>
      </c>
      <c r="T25" s="36">
        <f t="shared" si="2"/>
        <v>0</v>
      </c>
      <c r="U25" s="36">
        <f t="shared" si="2"/>
        <v>0</v>
      </c>
      <c r="V25" s="36">
        <f t="shared" si="2"/>
        <v>0</v>
      </c>
      <c r="W25" s="36">
        <f t="shared" si="2"/>
        <v>0</v>
      </c>
      <c r="X25" s="36">
        <f t="shared" si="2"/>
        <v>0</v>
      </c>
      <c r="Y25" s="36">
        <f t="shared" si="2"/>
        <v>0</v>
      </c>
      <c r="Z25" s="36">
        <f t="shared" si="2"/>
        <v>0</v>
      </c>
      <c r="AA25" s="37">
        <f t="shared" ref="AA25:AA30" si="3">SUM(C25:Z25)</f>
        <v>0</v>
      </c>
    </row>
    <row r="26" spans="2:27" x14ac:dyDescent="0.25">
      <c r="B26" s="6" t="s">
        <v>121</v>
      </c>
      <c r="C26" s="33">
        <f t="shared" ref="C26:Z26" si="4">C23*$C$11</f>
        <v>0</v>
      </c>
      <c r="D26" s="33">
        <f t="shared" si="4"/>
        <v>0</v>
      </c>
      <c r="E26" s="33">
        <f t="shared" si="4"/>
        <v>0</v>
      </c>
      <c r="F26" s="33">
        <f t="shared" si="4"/>
        <v>0</v>
      </c>
      <c r="G26" s="33">
        <f t="shared" si="4"/>
        <v>0</v>
      </c>
      <c r="H26" s="33">
        <f t="shared" si="4"/>
        <v>0</v>
      </c>
      <c r="I26" s="33">
        <f t="shared" si="4"/>
        <v>0</v>
      </c>
      <c r="J26" s="33">
        <f t="shared" si="4"/>
        <v>0</v>
      </c>
      <c r="K26" s="33">
        <f t="shared" si="4"/>
        <v>0</v>
      </c>
      <c r="L26" s="33">
        <f t="shared" si="4"/>
        <v>0</v>
      </c>
      <c r="M26" s="33">
        <f t="shared" si="4"/>
        <v>0</v>
      </c>
      <c r="N26" s="33">
        <f t="shared" si="4"/>
        <v>0</v>
      </c>
      <c r="O26" s="33">
        <f t="shared" si="4"/>
        <v>0</v>
      </c>
      <c r="P26" s="33">
        <f t="shared" si="4"/>
        <v>0</v>
      </c>
      <c r="Q26" s="33">
        <f t="shared" si="4"/>
        <v>0</v>
      </c>
      <c r="R26" s="33">
        <f t="shared" si="4"/>
        <v>0</v>
      </c>
      <c r="S26" s="33">
        <f t="shared" si="4"/>
        <v>0</v>
      </c>
      <c r="T26" s="33">
        <f t="shared" si="4"/>
        <v>0</v>
      </c>
      <c r="U26" s="33">
        <f t="shared" si="4"/>
        <v>0</v>
      </c>
      <c r="V26" s="33">
        <f t="shared" si="4"/>
        <v>0</v>
      </c>
      <c r="W26" s="33">
        <f t="shared" si="4"/>
        <v>0</v>
      </c>
      <c r="X26" s="33">
        <f t="shared" si="4"/>
        <v>0</v>
      </c>
      <c r="Y26" s="33">
        <f t="shared" si="4"/>
        <v>0</v>
      </c>
      <c r="Z26" s="33">
        <f t="shared" si="4"/>
        <v>0</v>
      </c>
      <c r="AA26" s="34">
        <f t="shared" si="3"/>
        <v>0</v>
      </c>
    </row>
    <row r="27" spans="2:27" x14ac:dyDescent="0.25">
      <c r="B27" s="5" t="s">
        <v>122</v>
      </c>
      <c r="C27" s="38">
        <f t="shared" ref="C27:Z27" si="5">C25-C26</f>
        <v>0</v>
      </c>
      <c r="D27" s="38">
        <f t="shared" si="5"/>
        <v>0</v>
      </c>
      <c r="E27" s="38">
        <f t="shared" si="5"/>
        <v>0</v>
      </c>
      <c r="F27" s="38">
        <f t="shared" si="5"/>
        <v>0</v>
      </c>
      <c r="G27" s="38">
        <f t="shared" si="5"/>
        <v>0</v>
      </c>
      <c r="H27" s="38">
        <f t="shared" si="5"/>
        <v>0</v>
      </c>
      <c r="I27" s="38">
        <f t="shared" si="5"/>
        <v>0</v>
      </c>
      <c r="J27" s="38">
        <f t="shared" si="5"/>
        <v>0</v>
      </c>
      <c r="K27" s="38">
        <f t="shared" si="5"/>
        <v>0</v>
      </c>
      <c r="L27" s="38">
        <f t="shared" si="5"/>
        <v>0</v>
      </c>
      <c r="M27" s="38">
        <f t="shared" si="5"/>
        <v>0</v>
      </c>
      <c r="N27" s="38">
        <f t="shared" si="5"/>
        <v>0</v>
      </c>
      <c r="O27" s="38">
        <f t="shared" si="5"/>
        <v>0</v>
      </c>
      <c r="P27" s="38">
        <f t="shared" si="5"/>
        <v>0</v>
      </c>
      <c r="Q27" s="38">
        <f t="shared" si="5"/>
        <v>0</v>
      </c>
      <c r="R27" s="38">
        <f t="shared" si="5"/>
        <v>0</v>
      </c>
      <c r="S27" s="38">
        <f t="shared" si="5"/>
        <v>0</v>
      </c>
      <c r="T27" s="38">
        <f t="shared" si="5"/>
        <v>0</v>
      </c>
      <c r="U27" s="38">
        <f t="shared" si="5"/>
        <v>0</v>
      </c>
      <c r="V27" s="38">
        <f t="shared" si="5"/>
        <v>0</v>
      </c>
      <c r="W27" s="38">
        <f t="shared" si="5"/>
        <v>0</v>
      </c>
      <c r="X27" s="38">
        <f t="shared" si="5"/>
        <v>0</v>
      </c>
      <c r="Y27" s="38">
        <f t="shared" si="5"/>
        <v>0</v>
      </c>
      <c r="Z27" s="38">
        <f t="shared" si="5"/>
        <v>0</v>
      </c>
      <c r="AA27" s="34">
        <f t="shared" si="3"/>
        <v>0</v>
      </c>
    </row>
    <row r="28" spans="2:27" x14ac:dyDescent="0.25">
      <c r="B28" s="6" t="s">
        <v>123</v>
      </c>
      <c r="C28" s="33">
        <f t="shared" ref="C28:Z28" si="6">C22*$C$13</f>
        <v>0</v>
      </c>
      <c r="D28" s="33">
        <f t="shared" si="6"/>
        <v>0</v>
      </c>
      <c r="E28" s="33">
        <f t="shared" si="6"/>
        <v>0</v>
      </c>
      <c r="F28" s="33">
        <f t="shared" si="6"/>
        <v>0</v>
      </c>
      <c r="G28" s="33">
        <f t="shared" si="6"/>
        <v>0</v>
      </c>
      <c r="H28" s="33">
        <f t="shared" si="6"/>
        <v>0</v>
      </c>
      <c r="I28" s="33">
        <f t="shared" si="6"/>
        <v>0</v>
      </c>
      <c r="J28" s="33">
        <f t="shared" si="6"/>
        <v>0</v>
      </c>
      <c r="K28" s="33">
        <f t="shared" si="6"/>
        <v>0</v>
      </c>
      <c r="L28" s="33">
        <f t="shared" si="6"/>
        <v>0</v>
      </c>
      <c r="M28" s="33">
        <f t="shared" si="6"/>
        <v>0</v>
      </c>
      <c r="N28" s="33">
        <f t="shared" si="6"/>
        <v>0</v>
      </c>
      <c r="O28" s="33">
        <f t="shared" si="6"/>
        <v>0</v>
      </c>
      <c r="P28" s="33">
        <f t="shared" si="6"/>
        <v>0</v>
      </c>
      <c r="Q28" s="33">
        <f t="shared" si="6"/>
        <v>0</v>
      </c>
      <c r="R28" s="33">
        <f t="shared" si="6"/>
        <v>0</v>
      </c>
      <c r="S28" s="33">
        <f t="shared" si="6"/>
        <v>0</v>
      </c>
      <c r="T28" s="33">
        <f t="shared" si="6"/>
        <v>0</v>
      </c>
      <c r="U28" s="33">
        <f t="shared" si="6"/>
        <v>0</v>
      </c>
      <c r="V28" s="33">
        <f t="shared" si="6"/>
        <v>0</v>
      </c>
      <c r="W28" s="33">
        <f t="shared" si="6"/>
        <v>0</v>
      </c>
      <c r="X28" s="33">
        <f t="shared" si="6"/>
        <v>0</v>
      </c>
      <c r="Y28" s="33">
        <f t="shared" si="6"/>
        <v>0</v>
      </c>
      <c r="Z28" s="33">
        <f t="shared" si="6"/>
        <v>0</v>
      </c>
      <c r="AA28" s="34">
        <f t="shared" si="3"/>
        <v>0</v>
      </c>
    </row>
    <row r="29" spans="2:27" x14ac:dyDescent="0.25">
      <c r="B29" s="6" t="s">
        <v>124</v>
      </c>
      <c r="C29" s="33">
        <f t="shared" ref="C29:Z29" si="7">$C$14</f>
        <v>500000000</v>
      </c>
      <c r="D29" s="33">
        <f t="shared" si="7"/>
        <v>500000000</v>
      </c>
      <c r="E29" s="33">
        <f t="shared" si="7"/>
        <v>500000000</v>
      </c>
      <c r="F29" s="33">
        <f t="shared" si="7"/>
        <v>500000000</v>
      </c>
      <c r="G29" s="33">
        <f t="shared" si="7"/>
        <v>500000000</v>
      </c>
      <c r="H29" s="33">
        <f t="shared" si="7"/>
        <v>500000000</v>
      </c>
      <c r="I29" s="33">
        <f t="shared" si="7"/>
        <v>500000000</v>
      </c>
      <c r="J29" s="33">
        <f t="shared" si="7"/>
        <v>500000000</v>
      </c>
      <c r="K29" s="33">
        <f t="shared" si="7"/>
        <v>500000000</v>
      </c>
      <c r="L29" s="33">
        <f t="shared" si="7"/>
        <v>500000000</v>
      </c>
      <c r="M29" s="33">
        <f t="shared" si="7"/>
        <v>500000000</v>
      </c>
      <c r="N29" s="33">
        <f t="shared" si="7"/>
        <v>500000000</v>
      </c>
      <c r="O29" s="33">
        <f t="shared" si="7"/>
        <v>500000000</v>
      </c>
      <c r="P29" s="33">
        <f t="shared" si="7"/>
        <v>500000000</v>
      </c>
      <c r="Q29" s="33">
        <f t="shared" si="7"/>
        <v>500000000</v>
      </c>
      <c r="R29" s="33">
        <f t="shared" si="7"/>
        <v>500000000</v>
      </c>
      <c r="S29" s="33">
        <f t="shared" si="7"/>
        <v>500000000</v>
      </c>
      <c r="T29" s="33">
        <f t="shared" si="7"/>
        <v>500000000</v>
      </c>
      <c r="U29" s="33">
        <f t="shared" si="7"/>
        <v>500000000</v>
      </c>
      <c r="V29" s="33">
        <f t="shared" si="7"/>
        <v>500000000</v>
      </c>
      <c r="W29" s="33">
        <f t="shared" si="7"/>
        <v>500000000</v>
      </c>
      <c r="X29" s="33">
        <f t="shared" si="7"/>
        <v>500000000</v>
      </c>
      <c r="Y29" s="33">
        <f t="shared" si="7"/>
        <v>500000000</v>
      </c>
      <c r="Z29" s="33">
        <f t="shared" si="7"/>
        <v>500000000</v>
      </c>
      <c r="AA29" s="34">
        <f t="shared" si="3"/>
        <v>12000000000</v>
      </c>
    </row>
    <row r="30" spans="2:27" x14ac:dyDescent="0.25">
      <c r="B30" s="14" t="s">
        <v>125</v>
      </c>
      <c r="C30" s="39">
        <f t="shared" ref="C30:Z30" si="8">C27-C28-C29</f>
        <v>-500000000</v>
      </c>
      <c r="D30" s="39">
        <f t="shared" si="8"/>
        <v>-500000000</v>
      </c>
      <c r="E30" s="39">
        <f t="shared" si="8"/>
        <v>-500000000</v>
      </c>
      <c r="F30" s="39">
        <f t="shared" si="8"/>
        <v>-500000000</v>
      </c>
      <c r="G30" s="39">
        <f t="shared" si="8"/>
        <v>-500000000</v>
      </c>
      <c r="H30" s="39">
        <f t="shared" si="8"/>
        <v>-500000000</v>
      </c>
      <c r="I30" s="39">
        <f t="shared" si="8"/>
        <v>-500000000</v>
      </c>
      <c r="J30" s="39">
        <f t="shared" si="8"/>
        <v>-500000000</v>
      </c>
      <c r="K30" s="39">
        <f t="shared" si="8"/>
        <v>-500000000</v>
      </c>
      <c r="L30" s="39">
        <f t="shared" si="8"/>
        <v>-500000000</v>
      </c>
      <c r="M30" s="39">
        <f t="shared" si="8"/>
        <v>-500000000</v>
      </c>
      <c r="N30" s="39">
        <f t="shared" si="8"/>
        <v>-500000000</v>
      </c>
      <c r="O30" s="39">
        <f t="shared" si="8"/>
        <v>-500000000</v>
      </c>
      <c r="P30" s="39">
        <f t="shared" si="8"/>
        <v>-500000000</v>
      </c>
      <c r="Q30" s="39">
        <f t="shared" si="8"/>
        <v>-500000000</v>
      </c>
      <c r="R30" s="39">
        <f t="shared" si="8"/>
        <v>-500000000</v>
      </c>
      <c r="S30" s="39">
        <f t="shared" si="8"/>
        <v>-500000000</v>
      </c>
      <c r="T30" s="39">
        <f t="shared" si="8"/>
        <v>-500000000</v>
      </c>
      <c r="U30" s="39">
        <f t="shared" si="8"/>
        <v>-500000000</v>
      </c>
      <c r="V30" s="39">
        <f t="shared" si="8"/>
        <v>-500000000</v>
      </c>
      <c r="W30" s="39">
        <f t="shared" si="8"/>
        <v>-500000000</v>
      </c>
      <c r="X30" s="39">
        <f t="shared" si="8"/>
        <v>-500000000</v>
      </c>
      <c r="Y30" s="39">
        <f t="shared" si="8"/>
        <v>-500000000</v>
      </c>
      <c r="Z30" s="39">
        <f t="shared" si="8"/>
        <v>-500000000</v>
      </c>
      <c r="AA30" s="40">
        <f t="shared" si="3"/>
        <v>-12000000000</v>
      </c>
    </row>
    <row r="32" spans="2:27" x14ac:dyDescent="0.25">
      <c r="B32" s="6" t="s">
        <v>126</v>
      </c>
      <c r="C32" s="33">
        <f>C30-$C$15</f>
        <v>-1000000000</v>
      </c>
      <c r="D32" s="33">
        <f t="shared" ref="D32:Z32" si="9">D30</f>
        <v>-500000000</v>
      </c>
      <c r="E32" s="33">
        <f t="shared" si="9"/>
        <v>-500000000</v>
      </c>
      <c r="F32" s="33">
        <f t="shared" si="9"/>
        <v>-500000000</v>
      </c>
      <c r="G32" s="33">
        <f t="shared" si="9"/>
        <v>-500000000</v>
      </c>
      <c r="H32" s="33">
        <f t="shared" si="9"/>
        <v>-500000000</v>
      </c>
      <c r="I32" s="33">
        <f t="shared" si="9"/>
        <v>-500000000</v>
      </c>
      <c r="J32" s="33">
        <f t="shared" si="9"/>
        <v>-500000000</v>
      </c>
      <c r="K32" s="33">
        <f t="shared" si="9"/>
        <v>-500000000</v>
      </c>
      <c r="L32" s="33">
        <f t="shared" si="9"/>
        <v>-500000000</v>
      </c>
      <c r="M32" s="33">
        <f t="shared" si="9"/>
        <v>-500000000</v>
      </c>
      <c r="N32" s="33">
        <f t="shared" si="9"/>
        <v>-500000000</v>
      </c>
      <c r="O32" s="33">
        <f t="shared" si="9"/>
        <v>-500000000</v>
      </c>
      <c r="P32" s="33">
        <f t="shared" si="9"/>
        <v>-500000000</v>
      </c>
      <c r="Q32" s="33">
        <f t="shared" si="9"/>
        <v>-500000000</v>
      </c>
      <c r="R32" s="33">
        <f t="shared" si="9"/>
        <v>-500000000</v>
      </c>
      <c r="S32" s="33">
        <f t="shared" si="9"/>
        <v>-500000000</v>
      </c>
      <c r="T32" s="33">
        <f t="shared" si="9"/>
        <v>-500000000</v>
      </c>
      <c r="U32" s="33">
        <f t="shared" si="9"/>
        <v>-500000000</v>
      </c>
      <c r="V32" s="33">
        <f t="shared" si="9"/>
        <v>-500000000</v>
      </c>
      <c r="W32" s="33">
        <f t="shared" si="9"/>
        <v>-500000000</v>
      </c>
      <c r="X32" s="33">
        <f t="shared" si="9"/>
        <v>-500000000</v>
      </c>
      <c r="Y32" s="33">
        <f t="shared" si="9"/>
        <v>-500000000</v>
      </c>
      <c r="Z32" s="33">
        <f t="shared" si="9"/>
        <v>-500000000</v>
      </c>
      <c r="AA32" s="34">
        <f>SUM(C32:Z32)</f>
        <v>-12500000000</v>
      </c>
    </row>
    <row r="33" spans="2:26" x14ac:dyDescent="0.25">
      <c r="B33" s="41" t="s">
        <v>127</v>
      </c>
      <c r="C33" s="42">
        <f>$C$16+C32</f>
        <v>2000000000</v>
      </c>
      <c r="D33" s="42">
        <f t="shared" ref="D33:Z33" si="10">C33+D32</f>
        <v>1500000000</v>
      </c>
      <c r="E33" s="42">
        <f t="shared" si="10"/>
        <v>1000000000</v>
      </c>
      <c r="F33" s="42">
        <f t="shared" si="10"/>
        <v>500000000</v>
      </c>
      <c r="G33" s="42">
        <f t="shared" si="10"/>
        <v>0</v>
      </c>
      <c r="H33" s="42">
        <f t="shared" si="10"/>
        <v>-500000000</v>
      </c>
      <c r="I33" s="42">
        <f t="shared" si="10"/>
        <v>-1000000000</v>
      </c>
      <c r="J33" s="42">
        <f t="shared" si="10"/>
        <v>-1500000000</v>
      </c>
      <c r="K33" s="42">
        <f t="shared" si="10"/>
        <v>-2000000000</v>
      </c>
      <c r="L33" s="42">
        <f t="shared" si="10"/>
        <v>-2500000000</v>
      </c>
      <c r="M33" s="42">
        <f t="shared" si="10"/>
        <v>-3000000000</v>
      </c>
      <c r="N33" s="42">
        <f t="shared" si="10"/>
        <v>-3500000000</v>
      </c>
      <c r="O33" s="42">
        <f t="shared" si="10"/>
        <v>-4000000000</v>
      </c>
      <c r="P33" s="42">
        <f t="shared" si="10"/>
        <v>-4500000000</v>
      </c>
      <c r="Q33" s="42">
        <f t="shared" si="10"/>
        <v>-5000000000</v>
      </c>
      <c r="R33" s="42">
        <f t="shared" si="10"/>
        <v>-5500000000</v>
      </c>
      <c r="S33" s="42">
        <f t="shared" si="10"/>
        <v>-6000000000</v>
      </c>
      <c r="T33" s="42">
        <f t="shared" si="10"/>
        <v>-6500000000</v>
      </c>
      <c r="U33" s="42">
        <f t="shared" si="10"/>
        <v>-7000000000</v>
      </c>
      <c r="V33" s="42">
        <f t="shared" si="10"/>
        <v>-7500000000</v>
      </c>
      <c r="W33" s="42">
        <f t="shared" si="10"/>
        <v>-8000000000</v>
      </c>
      <c r="X33" s="42">
        <f t="shared" si="10"/>
        <v>-8500000000</v>
      </c>
      <c r="Y33" s="42">
        <f t="shared" si="10"/>
        <v>-9000000000</v>
      </c>
      <c r="Z33" s="42">
        <f t="shared" si="10"/>
        <v>-9500000000</v>
      </c>
    </row>
    <row r="36" spans="2:26" x14ac:dyDescent="0.25">
      <c r="B36" s="61" t="s">
        <v>128</v>
      </c>
      <c r="C36" s="61"/>
      <c r="D36" s="61"/>
      <c r="E36" s="61"/>
      <c r="F36" s="61"/>
      <c r="G36" s="61"/>
      <c r="H36" s="61"/>
      <c r="I36" s="61"/>
      <c r="J36" s="61"/>
    </row>
    <row r="37" spans="2:26" x14ac:dyDescent="0.25">
      <c r="B37" s="5" t="s">
        <v>129</v>
      </c>
      <c r="C37" s="43">
        <f>(NPV($C$17,D32:Z32)+C32)/1000000</f>
        <v>-10632.076394307989</v>
      </c>
      <c r="D37" s="25" t="str">
        <f>"(target: &gt; 0)"</f>
        <v>(target: &gt; 0)</v>
      </c>
    </row>
    <row r="38" spans="2:26" x14ac:dyDescent="0.25">
      <c r="B38" s="5" t="s">
        <v>130</v>
      </c>
      <c r="C38" s="44">
        <f>IFERROR((1+IRR(C32:Z32))^12-1,0)</f>
        <v>0</v>
      </c>
      <c r="D38" s="25" t="str">
        <f>"(target: &gt; "&amp;TEXT(CHOOSE($C$6,'1. Assumptions'!C35,'1. Assumptions'!D35,'1. Assumptions'!E35),"0.0%")&amp;")"</f>
        <v>(target: &gt; 20.0%)</v>
      </c>
    </row>
    <row r="39" spans="2:26" x14ac:dyDescent="0.25">
      <c r="B39" s="5" t="s">
        <v>131</v>
      </c>
      <c r="C39" s="45" t="str">
        <f>IFERROR(MATCH(TRUE(),INDEX(C41:Z41&gt;=0,0),0),"&gt; 24")</f>
        <v>&gt; 24</v>
      </c>
      <c r="D39" s="25" t="str">
        <f>"(target: &lt; 24)"</f>
        <v>(target: &lt; 24)</v>
      </c>
    </row>
    <row r="40" spans="2:26" x14ac:dyDescent="0.25">
      <c r="B40" s="5" t="s">
        <v>132</v>
      </c>
      <c r="C40" s="46">
        <f>IFERROR(MATCH(TRUE(),INDEX(C33:Z33&lt;0,0),0)-1,"&gt;= 24")</f>
        <v>5</v>
      </c>
      <c r="D40" s="25" t="str">
        <f>"(target: &gt;= 12)"</f>
        <v>(target: &gt;= 12)</v>
      </c>
    </row>
    <row r="41" spans="2:26" x14ac:dyDescent="0.25">
      <c r="B41" s="47" t="s">
        <v>133</v>
      </c>
      <c r="C41" s="48">
        <f>C32</f>
        <v>-1000000000</v>
      </c>
      <c r="D41" s="48">
        <f t="shared" ref="D41:Z41" si="11">C41+D32</f>
        <v>-1500000000</v>
      </c>
      <c r="E41" s="48">
        <f t="shared" si="11"/>
        <v>-2000000000</v>
      </c>
      <c r="F41" s="48">
        <f t="shared" si="11"/>
        <v>-2500000000</v>
      </c>
      <c r="G41" s="48">
        <f t="shared" si="11"/>
        <v>-3000000000</v>
      </c>
      <c r="H41" s="48">
        <f t="shared" si="11"/>
        <v>-3500000000</v>
      </c>
      <c r="I41" s="48">
        <f t="shared" si="11"/>
        <v>-4000000000</v>
      </c>
      <c r="J41" s="48">
        <f t="shared" si="11"/>
        <v>-4500000000</v>
      </c>
      <c r="K41" s="48">
        <f t="shared" si="11"/>
        <v>-5000000000</v>
      </c>
      <c r="L41" s="48">
        <f t="shared" si="11"/>
        <v>-5500000000</v>
      </c>
      <c r="M41" s="48">
        <f t="shared" si="11"/>
        <v>-6000000000</v>
      </c>
      <c r="N41" s="48">
        <f t="shared" si="11"/>
        <v>-6500000000</v>
      </c>
      <c r="O41" s="48">
        <f t="shared" si="11"/>
        <v>-7000000000</v>
      </c>
      <c r="P41" s="48">
        <f t="shared" si="11"/>
        <v>-7500000000</v>
      </c>
      <c r="Q41" s="48">
        <f t="shared" si="11"/>
        <v>-8000000000</v>
      </c>
      <c r="R41" s="48">
        <f t="shared" si="11"/>
        <v>-8500000000</v>
      </c>
      <c r="S41" s="48">
        <f t="shared" si="11"/>
        <v>-9000000000</v>
      </c>
      <c r="T41" s="48">
        <f t="shared" si="11"/>
        <v>-9500000000</v>
      </c>
      <c r="U41" s="48">
        <f t="shared" si="11"/>
        <v>-10000000000</v>
      </c>
      <c r="V41" s="48">
        <f t="shared" si="11"/>
        <v>-10500000000</v>
      </c>
      <c r="W41" s="48">
        <f t="shared" si="11"/>
        <v>-11000000000</v>
      </c>
      <c r="X41" s="48">
        <f t="shared" si="11"/>
        <v>-11500000000</v>
      </c>
      <c r="Y41" s="48">
        <f t="shared" si="11"/>
        <v>-12000000000</v>
      </c>
      <c r="Z41" s="48">
        <f t="shared" si="11"/>
        <v>-12500000000</v>
      </c>
    </row>
    <row r="43" spans="2:26" x14ac:dyDescent="0.25">
      <c r="B43" s="61" t="s">
        <v>134</v>
      </c>
      <c r="C43" s="61"/>
      <c r="D43" s="61"/>
      <c r="E43" s="61"/>
      <c r="F43" s="61"/>
      <c r="G43" s="61"/>
      <c r="H43" s="61"/>
      <c r="I43" s="61"/>
      <c r="J43" s="61"/>
    </row>
    <row r="44" spans="2:26" ht="15.75" x14ac:dyDescent="0.25">
      <c r="B44" s="5" t="s">
        <v>135</v>
      </c>
      <c r="C44" s="62" t="str">
        <f>IF(AND(C37&gt;0,C38&gt;CHOOSE($C$6,'1. Assumptions'!C35,'1. Assumptions'!D35,'1. Assumptions'!E35)),"✓ GO — NPV+ và IRR &gt; WACC",IF(C37&lt;0,"✗ NO-GO — NPV âm: dự án không tạo giá trị","⚠ HOLD — IRR thấp hơn kỳ vọng, cần điều chỉnh"))</f>
        <v>✗ NO-GO — NPV âm: dự án không tạo giá trị</v>
      </c>
      <c r="D44" s="62"/>
      <c r="E44" s="62"/>
      <c r="F44" s="62"/>
      <c r="G44" s="62"/>
      <c r="H44" s="62"/>
      <c r="I44" s="62"/>
      <c r="J44" s="62"/>
    </row>
  </sheetData>
  <mergeCells count="6">
    <mergeCell ref="C44:J44"/>
    <mergeCell ref="B2:H2"/>
    <mergeCell ref="D4:H4"/>
    <mergeCell ref="B20:AA20"/>
    <mergeCell ref="B36:J36"/>
    <mergeCell ref="B43:J43"/>
  </mergeCells>
  <conditionalFormatting sqref="C33">
    <cfRule type="cellIs" dxfId="28" priority="2" operator="lessThan">
      <formula>0</formula>
    </cfRule>
  </conditionalFormatting>
  <conditionalFormatting sqref="D33">
    <cfRule type="cellIs" dxfId="27" priority="3" operator="lessThan">
      <formula>0</formula>
    </cfRule>
  </conditionalFormatting>
  <conditionalFormatting sqref="E33">
    <cfRule type="cellIs" dxfId="26" priority="4" operator="lessThan">
      <formula>0</formula>
    </cfRule>
  </conditionalFormatting>
  <conditionalFormatting sqref="F33">
    <cfRule type="cellIs" dxfId="25" priority="5" operator="lessThan">
      <formula>0</formula>
    </cfRule>
  </conditionalFormatting>
  <conditionalFormatting sqref="G33">
    <cfRule type="cellIs" dxfId="24" priority="6" operator="lessThan">
      <formula>0</formula>
    </cfRule>
  </conditionalFormatting>
  <conditionalFormatting sqref="H33">
    <cfRule type="cellIs" dxfId="23" priority="7" operator="lessThan">
      <formula>0</formula>
    </cfRule>
  </conditionalFormatting>
  <conditionalFormatting sqref="I33">
    <cfRule type="cellIs" dxfId="22" priority="8" operator="lessThan">
      <formula>0</formula>
    </cfRule>
  </conditionalFormatting>
  <conditionalFormatting sqref="J33">
    <cfRule type="cellIs" dxfId="21" priority="9" operator="lessThan">
      <formula>0</formula>
    </cfRule>
  </conditionalFormatting>
  <conditionalFormatting sqref="K33">
    <cfRule type="cellIs" dxfId="20" priority="10" operator="lessThan">
      <formula>0</formula>
    </cfRule>
  </conditionalFormatting>
  <conditionalFormatting sqref="L33">
    <cfRule type="cellIs" dxfId="19" priority="11" operator="lessThan">
      <formula>0</formula>
    </cfRule>
  </conditionalFormatting>
  <conditionalFormatting sqref="M33">
    <cfRule type="cellIs" dxfId="18" priority="12" operator="lessThan">
      <formula>0</formula>
    </cfRule>
  </conditionalFormatting>
  <conditionalFormatting sqref="N33">
    <cfRule type="cellIs" dxfId="17" priority="13" operator="lessThan">
      <formula>0</formula>
    </cfRule>
  </conditionalFormatting>
  <conditionalFormatting sqref="O33">
    <cfRule type="cellIs" dxfId="16" priority="14" operator="lessThan">
      <formula>0</formula>
    </cfRule>
  </conditionalFormatting>
  <conditionalFormatting sqref="P33">
    <cfRule type="cellIs" dxfId="15" priority="15" operator="lessThan">
      <formula>0</formula>
    </cfRule>
  </conditionalFormatting>
  <conditionalFormatting sqref="Q33">
    <cfRule type="cellIs" dxfId="14" priority="16" operator="lessThan">
      <formula>0</formula>
    </cfRule>
  </conditionalFormatting>
  <conditionalFormatting sqref="R33">
    <cfRule type="cellIs" dxfId="13" priority="17" operator="lessThan">
      <formula>0</formula>
    </cfRule>
  </conditionalFormatting>
  <conditionalFormatting sqref="S33">
    <cfRule type="cellIs" dxfId="12" priority="18" operator="lessThan">
      <formula>0</formula>
    </cfRule>
  </conditionalFormatting>
  <conditionalFormatting sqref="T33">
    <cfRule type="cellIs" dxfId="11" priority="19" operator="lessThan">
      <formula>0</formula>
    </cfRule>
  </conditionalFormatting>
  <conditionalFormatting sqref="U33">
    <cfRule type="cellIs" dxfId="10" priority="20" operator="lessThan">
      <formula>0</formula>
    </cfRule>
  </conditionalFormatting>
  <conditionalFormatting sqref="V33">
    <cfRule type="cellIs" dxfId="9" priority="21" operator="lessThan">
      <formula>0</formula>
    </cfRule>
  </conditionalFormatting>
  <conditionalFormatting sqref="W33">
    <cfRule type="cellIs" dxfId="8" priority="22" operator="lessThan">
      <formula>0</formula>
    </cfRule>
  </conditionalFormatting>
  <conditionalFormatting sqref="X33">
    <cfRule type="cellIs" dxfId="7" priority="23" operator="lessThan">
      <formula>0</formula>
    </cfRule>
  </conditionalFormatting>
  <conditionalFormatting sqref="Y33">
    <cfRule type="cellIs" dxfId="6" priority="24" operator="lessThan">
      <formula>0</formula>
    </cfRule>
  </conditionalFormatting>
  <conditionalFormatting sqref="Z33">
    <cfRule type="cellIs" dxfId="5" priority="25" operator="lessThan">
      <formula>0</formula>
    </cfRule>
  </conditionalFormatting>
  <conditionalFormatting sqref="C37">
    <cfRule type="cellIs" dxfId="4" priority="26" operator="greaterThan">
      <formula>0</formula>
    </cfRule>
    <cfRule type="cellIs" dxfId="3" priority="27" operator="lessThanOrEqual">
      <formula>0</formula>
    </cfRule>
  </conditionalFormatting>
  <conditionalFormatting sqref="C40">
    <cfRule type="expression" dxfId="2" priority="30">
      <formula>AND(ISNUMBER(C40),C40&lt;12)</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TrustLayerAI</vt: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2026-05-03T14:07:25Z</dcterms:created>
  <dcterms:modified xsi:type="dcterms:W3CDTF">2026-05-04T19:26:06Z</dcterms:modified>
  <dc:language>en-US</dc:language>
</cp:coreProperties>
</file>